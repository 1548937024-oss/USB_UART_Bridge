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aee4d1ba240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BOM" sheetId="1" r:id="Rd43def2401cf46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7A4F01"/>
      <x:name val="Carlito"/>
    </x:font>
    <x:font>
      <x:b/>
      <x:sz val="11"/>
      <x:color rgb="FF16324F"/>
      <x:name val="Carlito"/>
    </x:font>
    <x:font>
      <x:b/>
      <x:sz val="10"/>
      <x:color rgb="FFFFFFFF"/>
      <x:name val="Carlito"/>
    </x:font>
    <x:font>
      <x:b/>
      <x:sz val="11"/>
      <x:name val="Carlito"/>
    </x:font>
    <x:font>
      <x:b/>
      <x:sz val="11"/>
      <x:color rgb="FF0F513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4CE"/>
      </x:patternFill>
    </x:fill>
    <x:fill>
      <x:patternFill patternType="solid">
        <x:fgColor rgb="FFE8EEF5"/>
      </x:patternFill>
    </x:fill>
    <x:fill>
      <x:patternFill patternType="solid">
        <x:fgColor rgb="FF2F5D8A"/>
      </x:patternFill>
    </x:fill>
  </x:fills>
  <x:borders count="3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C7D4E2"/>
      </x:left>
      <x:right style="thin">
        <x:color rgb="FFC7D4E2"/>
      </x:right>
      <x:top style="thin">
        <x:color rgb="FFC7D4E2"/>
      </x:top>
      <x:bottom style="thin">
        <x:color rgb="FFC7D4E2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horizontal="right" vertical="top"/>
    </x:xf>
    <x:xf numFmtId="200" fontId="0" fillId="0" borderId="1" xfId="0" applyNumberFormat="1" applyFont="1" applyFill="1" applyBorder="1" applyAlignment="1">
      <x:alignment horizontal="right" vertical="top"/>
    </x:xf>
    <x:xf numFmtId="201" fontId="0" fillId="0" borderId="1" xfId="0" applyNumberFormat="1" applyFont="1" applyFill="1" applyBorder="1" applyAlignment="1">
      <x:alignment horizontal="right" vertical="top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/>
    <x:xf numFmtId="0" fontId="3" fillId="4" borderId="2" xfId="0" applyNumberFormat="1" applyFont="1" applyFill="1" applyBorder="1"/>
    <x:xf numFmtId="0" fontId="6" fillId="4" borderId="2" xfId="0" applyNumberFormat="1" applyFont="1" applyFill="1" applyBorder="1"/>
    <x:xf numFmtId="201" fontId="0" fillId="4" borderId="2" xfId="0" applyNumberFormat="1" applyFont="1" applyFill="1" applyBorder="1"/>
    <x:xf numFmtId="200" fontId="6" fillId="4" borderId="2" xfId="0" applyNumberFormat="1" applyFont="1" applyFill="1" applyBorder="1"/>
    <x:xf numFmtId="200" fontId="3" fillId="4" borderId="2" xfId="0" applyNumberFormat="1" applyFont="1" applyFill="1" applyBorder="1"/>
  </x:cellXfs>
  <x:cellStyles count="1">
    <x:cellStyle name="Normal" xfId="0"/>
  </x:cellStyles>
  <x:dxfs count="3">
    <x:dxf>
      <x:font>
        <x:b/>
        <x:color rgb="FF7C2D12"/>
      </x:font>
      <x:fill>
        <x:patternFill patternType="solid">
          <x:bgColor rgb="FFFDE68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1cddc2d6444584" /><Relationship Type="http://schemas.openxmlformats.org/officeDocument/2006/relationships/theme" Target="/xl/theme/theme1.xml" Id="R0d49fa4e7a524acb" /><Relationship Type="http://schemas.openxmlformats.org/officeDocument/2006/relationships/sharedStrings" Target="/xl/sharedStrings.xml" Id="R1a89ceb6e5204448" /><Relationship Type="http://schemas.openxmlformats.org/officeDocument/2006/relationships/worksheet" Target="/xl/worksheets/sheet1.xml" Id="Rd43def2401cf46e8" /></Relationships>
</file>

<file path=xl/tables/table1.xml><?xml version="1.0" encoding="utf-8"?>
<x:table xmlns:x="http://schemas.openxmlformats.org/spreadsheetml/2006/main" id="1" name="ProcurementBom" displayName="ProcurementBom" ref="A8:Y37" headerRowCount="1" totalsRowCount="0" totalsRowShown="0">
  <x:autoFilter ref="A8:Y37"/>
  <x:tableColumns count="25">
    <x:tableColumn id="1" name="序号"/>
    <x:tableColumn id="2" name="预算分组"/>
    <x:tableColumn id="3" name="类别"/>
    <x:tableColumn id="4" name="位号"/>
    <x:tableColumn id="5" name="器件/项目"/>
    <x:tableColumn id="6" name="关键规格"/>
    <x:tableColumn id="7" name="封装"/>
    <x:tableColumn id="8" name="单位数量"/>
    <x:tableColumn id="9" name="数量单位"/>
    <x:tableColumn id="10" name="基础数量"/>
    <x:tableColumn id="11" name="备件率"/>
    <x:tableColumn id="12" name="MOQ"/>
    <x:tableColumn id="13" name="采购数量"/>
    <x:tableColumn id="14" name="建议料号/选型"/>
    <x:tableColumn id="15" name="制造商"/>
    <x:tableColumn id="16" name="推荐渠道"/>
    <x:tableColumn id="17" name="预算单价 (CNY)"/>
    <x:tableColumn id="18" name="实际报价 (CNY)"/>
    <x:tableColumn id="19" name="采用单价 (CNY)"/>
    <x:tableColumn id="20" name="预计金额 (CNY)"/>
    <x:tableColumn id="21" name="价格状态"/>
    <x:tableColumn id="22" name="采购优先级"/>
    <x:tableColumn id="23" name="供货风险"/>
    <x:tableColumn id="24" name="采购备注"/>
    <x:tableColumn id="25" name="设计追溯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1b388198da481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6" hidden="0" customWidth="1"/>
    <x:col min="2" max="2" width="10" hidden="0" customWidth="1"/>
    <x:col min="3" max="3" width="12" hidden="0" customWidth="1"/>
    <x:col min="4" max="4" width="12" hidden="0" customWidth="1"/>
    <x:col min="5" max="5" width="25" hidden="0" customWidth="1"/>
    <x:col min="6" max="6" width="34" hidden="0" customWidth="1"/>
    <x:col min="7" max="7" width="24" hidden="0" customWidth="1"/>
    <x:col min="8" max="8" width="9" hidden="0" customWidth="1"/>
    <x:col min="9" max="9" width="9" hidden="0" customWidth="1"/>
    <x:col min="10" max="10" width="10" hidden="0" customWidth="1"/>
    <x:col min="11" max="11" width="9" hidden="0" customWidth="1"/>
    <x:col min="12" max="12" width="8" hidden="0" customWidth="1"/>
    <x:col min="13" max="13" width="10" hidden="0" customWidth="1"/>
    <x:col min="14" max="14" width="24" hidden="0" customWidth="1"/>
    <x:col min="15" max="15" width="18" hidden="0" customWidth="1"/>
    <x:col min="16" max="16" width="15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22" hidden="0" customWidth="1"/>
    <x:col min="22" max="22" width="10" hidden="0" customWidth="1"/>
    <x:col min="23" max="23" width="9" hidden="0" customWidth="1"/>
    <x:col min="24" max="24" width="38" hidden="0" customWidth="1"/>
    <x:col min="25" max="25" width="28" hidden="0" customWidth="1"/>
  </x:cols>
  <x:sheetData>
    <x:row r="1" ht="30" customHeight="1">
      <x:c r="A1" s="4" t="str">
        <x:v>USB_UART_Bridge 采购 BOM 与成本评估</x:v>
      </x:c>
      <x:c r="B1" s="4" t="str">
        <x:v>USB_UART_Bridge 采购 BOM 与成本评估</x:v>
      </x:c>
      <x:c r="C1" s="4" t="str">
        <x:v>USB_UART_Bridge 采购 BOM 与成本评估</x:v>
      </x:c>
      <x:c r="D1" s="4" t="str">
        <x:v>USB_UART_Bridge 采购 BOM 与成本评估</x:v>
      </x:c>
      <x:c r="E1" s="4" t="str">
        <x:v>USB_UART_Bridge 采购 BOM 与成本评估</x:v>
      </x:c>
      <x:c r="F1" s="4" t="str">
        <x:v>USB_UART_Bridge 采购 BOM 与成本评估</x:v>
      </x:c>
      <x:c r="G1" s="4" t="str">
        <x:v>USB_UART_Bridge 采购 BOM 与成本评估</x:v>
      </x:c>
      <x:c r="H1" s="4" t="str">
        <x:v>USB_UART_Bridge 采购 BOM 与成本评估</x:v>
      </x:c>
      <x:c r="I1" s="4" t="str">
        <x:v>USB_UART_Bridge 采购 BOM 与成本评估</x:v>
      </x:c>
      <x:c r="J1" s="4" t="str">
        <x:v>USB_UART_Bridge 采购 BOM 与成本评估</x:v>
      </x:c>
      <x:c r="K1" s="4" t="str">
        <x:v>USB_UART_Bridge 采购 BOM 与成本评估</x:v>
      </x:c>
      <x:c r="L1" s="4" t="str">
        <x:v>USB_UART_Bridge 采购 BOM 与成本评估</x:v>
      </x:c>
      <x:c r="M1" s="4" t="str">
        <x:v>USB_UART_Bridge 采购 BOM 与成本评估</x:v>
      </x:c>
      <x:c r="N1" s="4" t="str">
        <x:v>USB_UART_Bridge 采购 BOM 与成本评估</x:v>
      </x:c>
      <x:c r="O1" s="4" t="str">
        <x:v>USB_UART_Bridge 采购 BOM 与成本评估</x:v>
      </x:c>
      <x:c r="P1" s="4" t="str">
        <x:v>USB_UART_Bridge 采购 BOM 与成本评估</x:v>
      </x:c>
      <x:c r="Q1" s="4" t="str">
        <x:v>USB_UART_Bridge 采购 BOM 与成本评估</x:v>
      </x:c>
      <x:c r="R1" s="4" t="str">
        <x:v>USB_UART_Bridge 采购 BOM 与成本评估</x:v>
      </x:c>
      <x:c r="S1" s="4" t="str">
        <x:v>USB_UART_Bridge 采购 BOM 与成本评估</x:v>
      </x:c>
      <x:c r="T1" s="4" t="str">
        <x:v>USB_UART_Bridge 采购 BOM 与成本评估</x:v>
      </x:c>
      <x:c r="U1" s="4" t="str">
        <x:v>USB_UART_Bridge 采购 BOM 与成本评估</x:v>
      </x:c>
      <x:c r="V1" s="4" t="str">
        <x:v>USB_UART_Bridge 采购 BOM 与成本评估</x:v>
      </x:c>
      <x:c r="W1" s="4" t="str">
        <x:v>USB_UART_Bridge 采购 BOM 与成本评估</x:v>
      </x:c>
      <x:c r="X1" s="4" t="str">
        <x:v>USB_UART_Bridge 采购 BOM 与成本评估</x:v>
      </x:c>
      <x:c r="Y1" s="4" t="str">
        <x:v>USB_UART_Bridge 采购 BOM 与成本评估</x:v>
      </x:c>
    </x:row>
    <x:row r="2" ht="24" customHeight="1">
      <x:c r="A2" s="8" t="str">
        <x:v>预算单价为 2026-09-19 的早期采购估算，不代替供应商正式报价；下单前请更新实际报价列。</x:v>
      </x:c>
      <x:c r="B2" s="8" t="str">
        <x:v>预算单价为 2026-09-19 的早期采购估算，不代替供应商正式报价；下单前请更新实际报价列。</x:v>
      </x:c>
      <x:c r="C2" s="8" t="str">
        <x:v>预算单价为 2026-09-19 的早期采购估算，不代替供应商正式报价；下单前请更新实际报价列。</x:v>
      </x:c>
      <x:c r="D2" s="8" t="str">
        <x:v>预算单价为 2026-09-19 的早期采购估算，不代替供应商正式报价；下单前请更新实际报价列。</x:v>
      </x:c>
      <x:c r="E2" s="8" t="str">
        <x:v>预算单价为 2026-09-19 的早期采购估算，不代替供应商正式报价；下单前请更新实际报价列。</x:v>
      </x:c>
      <x:c r="F2" s="8" t="str">
        <x:v>预算单价为 2026-09-19 的早期采购估算，不代替供应商正式报价；下单前请更新实际报价列。</x:v>
      </x:c>
      <x:c r="G2" s="8" t="str">
        <x:v>预算单价为 2026-09-19 的早期采购估算，不代替供应商正式报价；下单前请更新实际报价列。</x:v>
      </x:c>
      <x:c r="H2" s="8" t="str">
        <x:v>预算单价为 2026-09-19 的早期采购估算，不代替供应商正式报价；下单前请更新实际报价列。</x:v>
      </x:c>
      <x:c r="I2" s="8" t="str">
        <x:v>预算单价为 2026-09-19 的早期采购估算，不代替供应商正式报价；下单前请更新实际报价列。</x:v>
      </x:c>
      <x:c r="J2" s="8" t="str">
        <x:v>预算单价为 2026-09-19 的早期采购估算，不代替供应商正式报价；下单前请更新实际报价列。</x:v>
      </x:c>
      <x:c r="K2" s="8" t="str">
        <x:v>预算单价为 2026-09-19 的早期采购估算，不代替供应商正式报价；下单前请更新实际报价列。</x:v>
      </x:c>
      <x:c r="L2" s="8" t="str">
        <x:v>预算单价为 2026-09-19 的早期采购估算，不代替供应商正式报价；下单前请更新实际报价列。</x:v>
      </x:c>
      <x:c r="M2" s="8" t="str">
        <x:v>预算单价为 2026-09-19 的早期采购估算，不代替供应商正式报价；下单前请更新实际报价列。</x:v>
      </x:c>
      <x:c r="N2" s="8" t="str">
        <x:v>预算单价为 2026-09-19 的早期采购估算，不代替供应商正式报价；下单前请更新实际报价列。</x:v>
      </x:c>
      <x:c r="O2" s="8" t="str">
        <x:v>预算单价为 2026-09-19 的早期采购估算，不代替供应商正式报价；下单前请更新实际报价列。</x:v>
      </x:c>
      <x:c r="P2" s="8" t="str">
        <x:v>预算单价为 2026-09-19 的早期采购估算，不代替供应商正式报价；下单前请更新实际报价列。</x:v>
      </x:c>
      <x:c r="Q2" s="8" t="str">
        <x:v>预算单价为 2026-09-19 的早期采购估算，不代替供应商正式报价；下单前请更新实际报价列。</x:v>
      </x:c>
      <x:c r="R2" s="8" t="str">
        <x:v>预算单价为 2026-09-19 的早期采购估算，不代替供应商正式报价；下单前请更新实际报价列。</x:v>
      </x:c>
      <x:c r="S2" s="8" t="str">
        <x:v>预算单价为 2026-09-19 的早期采购估算，不代替供应商正式报价；下单前请更新实际报价列。</x:v>
      </x:c>
      <x:c r="T2" s="8" t="str">
        <x:v>预算单价为 2026-09-19 的早期采购估算，不代替供应商正式报价；下单前请更新实际报价列。</x:v>
      </x:c>
      <x:c r="U2" s="8" t="str">
        <x:v>预算单价为 2026-09-19 的早期采购估算，不代替供应商正式报价；下单前请更新实际报价列。</x:v>
      </x:c>
      <x:c r="V2" s="8" t="str">
        <x:v>预算单价为 2026-09-19 的早期采购估算，不代替供应商正式报价；下单前请更新实际报价列。</x:v>
      </x:c>
      <x:c r="W2" s="8" t="str">
        <x:v>预算单价为 2026-09-19 的早期采购估算，不代替供应商正式报价；下单前请更新实际报价列。</x:v>
      </x:c>
      <x:c r="X2" s="8" t="str">
        <x:v>预算单价为 2026-09-19 的早期采购估算，不代替供应商正式报价；下单前请更新实际报价列。</x:v>
      </x:c>
      <x:c r="Y2" s="8" t="str">
        <x:v>预算单价为 2026-09-19 的早期采购估算，不代替供应商正式报价；下单前请更新实际报价列。</x:v>
      </x:c>
    </x:row>
    <x:row r="3">
      <x:c r="A3" s="26" t="str">
        <x:v>项目</x:v>
      </x:c>
      <x:c r="B3" s="25" t="str">
        <x:v>USB_UART_Bridge rev 0.2</x:v>
      </x:c>
      <x:c r="C3" s="25"/>
      <x:c r="D3" s="26" t="str">
        <x:v>计划制板数量</x:v>
      </x:c>
      <x:c r="E3" s="25" t="n">
        <x:v>5</x:v>
      </x:c>
      <x:c r="F3" s="26" t="str">
        <x:v>默认备件率</x:v>
      </x:c>
      <x:c r="G3" s="28" t="n">
        <x:v>0.1</x:v>
      </x:c>
      <x:c r="H3" s="26" t="str">
        <x:v>币种</x:v>
      </x:c>
      <x:c r="I3" s="25" t="str">
        <x:v>CNY</x:v>
      </x:c>
      <x:c r="J3" s="26" t="str">
        <x:v>预算状态</x:v>
      </x:c>
      <x:c r="K3" s="25" t="str">
        <x:v>估算，采购前需询价</x:v>
      </x:c>
    </x:row>
    <x:row r="4">
      <x:c r="A4" s="26" t="str">
        <x:v>必装元件金额</x:v>
      </x:c>
      <x:c r="B4" s="29" t="n">
        <x:f>SUMIFS($T$9:$T$37,$B$9:$B$37,"必装元件")</x:f>
        <x:v>180.34000000000003</x:v>
      </x:c>
      <x:c r="C4" s="29"/>
      <x:c r="D4" s="29" t="str">
        <x:v>PCB/装配金额</x:v>
      </x:c>
      <x:c r="E4" s="29" t="n">
        <x:f>SUMIFS($T$9:$T$37,$B$9:$B$37,"PCB/装配")</x:f>
        <x:v>455</x:v>
      </x:c>
      <x:c r="F4" s="29" t="str">
        <x:v>可选配件金额</x:v>
      </x:c>
      <x:c r="G4" s="29" t="n">
        <x:f>SUMIFS($T$9:$T$37,$B$9:$B$37,"可选配件")</x:f>
        <x:v>42</x:v>
      </x:c>
      <x:c r="H4" s="30" t="str">
        <x:v>总预算</x:v>
      </x:c>
      <x:c r="I4" s="29" t="n">
        <x:f>B4+E4+G4</x:f>
        <x:v>677.34</x:v>
      </x:c>
      <x:c r="J4" s="27" t="str">
        <x:v>单板预算</x:v>
      </x:c>
      <x:c r="K4" s="29" t="n">
        <x:f>IF($E$3=0,0,$I4/$E$3)</x:f>
        <x:v>135.46800000000002</x:v>
      </x:c>
    </x:row>
    <x:row r="6">
      <x:c r="A6" s="11" t="str">
        <x:v>成本评估</x:v>
      </x:c>
      <x:c r="B6" s="11" t="str">
        <x:v>必装元件按采购数量和实际报价/预算单价汇总；PCB、钢网、贴片和插件服务单列；后置配件不阻塞首批打样。</x:v>
      </x:c>
      <x:c r="C6" s="11" t="str"/>
      <x:c r="D6" s="11" t="str"/>
      <x:c r="E6" s="11" t="str"/>
      <x:c r="F6" s="11" t="str"/>
      <x:c r="G6" s="11" t="str"/>
      <x:c r="H6" s="11" t="str"/>
      <x:c r="I6" s="11" t="str"/>
      <x:c r="J6" s="11" t="str"/>
      <x:c r="K6" s="11" t="str"/>
      <x:c r="L6" s="11" t="str"/>
      <x:c r="M6" s="11" t="str"/>
      <x:c r="N6" s="11" t="str"/>
      <x:c r="O6" s="11" t="str"/>
      <x:c r="P6" s="11" t="str"/>
      <x:c r="Q6" s="11" t="str"/>
      <x:c r="R6" s="11" t="str"/>
      <x:c r="S6" s="11" t="str"/>
      <x:c r="T6" s="11" t="str"/>
      <x:c r="U6" s="11" t="str"/>
      <x:c r="V6" s="11" t="str"/>
      <x:c r="W6" s="11" t="str"/>
      <x:c r="X6" s="11" t="str"/>
      <x:c r="Y6" s="11" t="str"/>
    </x:row>
    <x:row r="8" ht="42" customHeight="1">
      <x:c r="A8" s="16" t="str">
        <x:v>序号</x:v>
      </x:c>
      <x:c r="B8" s="16" t="str">
        <x:v>预算分组</x:v>
      </x:c>
      <x:c r="C8" s="16" t="str">
        <x:v>类别</x:v>
      </x:c>
      <x:c r="D8" s="16" t="str">
        <x:v>位号</x:v>
      </x:c>
      <x:c r="E8" s="16" t="str">
        <x:v>器件/项目</x:v>
      </x:c>
      <x:c r="F8" s="16" t="str">
        <x:v>关键规格</x:v>
      </x:c>
      <x:c r="G8" s="16" t="str">
        <x:v>封装</x:v>
      </x:c>
      <x:c r="H8" s="16" t="str">
        <x:v>单位数量</x:v>
      </x:c>
      <x:c r="I8" s="16" t="str">
        <x:v>数量单位</x:v>
      </x:c>
      <x:c r="J8" s="16" t="str">
        <x:v>基础数量</x:v>
      </x:c>
      <x:c r="K8" s="16" t="str">
        <x:v>备件率</x:v>
      </x:c>
      <x:c r="L8" s="16" t="str">
        <x:v>MOQ</x:v>
      </x:c>
      <x:c r="M8" s="16" t="str">
        <x:v>采购数量</x:v>
      </x:c>
      <x:c r="N8" s="16" t="str">
        <x:v>建议料号/选型</x:v>
      </x:c>
      <x:c r="O8" s="16" t="str">
        <x:v>制造商</x:v>
      </x:c>
      <x:c r="P8" s="16" t="str">
        <x:v>推荐渠道</x:v>
      </x:c>
      <x:c r="Q8" s="16" t="str">
        <x:v>预算单价 (CNY)</x:v>
      </x:c>
      <x:c r="R8" s="16" t="str">
        <x:v>实际报价 (CNY)</x:v>
      </x:c>
      <x:c r="S8" s="16" t="str">
        <x:v>采用单价 (CNY)</x:v>
      </x:c>
      <x:c r="T8" s="16" t="str">
        <x:v>预计金额 (CNY)</x:v>
      </x:c>
      <x:c r="U8" s="16" t="str">
        <x:v>价格状态</x:v>
      </x:c>
      <x:c r="V8" s="16" t="str">
        <x:v>采购优先级</x:v>
      </x:c>
      <x:c r="W8" s="16" t="str">
        <x:v>供货风险</x:v>
      </x:c>
      <x:c r="X8" s="16" t="str">
        <x:v>采购备注</x:v>
      </x:c>
      <x:c r="Y8" s="16" t="str">
        <x:v>设计追溯</x:v>
      </x:c>
    </x:row>
    <x:row r="9">
      <x:c r="A9" s="18" t="n">
        <x:v>1</x:v>
      </x:c>
      <x:c r="B9" s="18" t="str">
        <x:v>必装元件</x:v>
      </x:c>
      <x:c r="C9" s="18" t="str">
        <x:v>USB-UART 桥</x:v>
      </x:c>
      <x:c r="D9" s="19" t="str">
        <x:v>U1</x:v>
      </x:c>
      <x:c r="E9" s="18" t="str">
        <x:v>CH343G</x:v>
      </x:c>
      <x:c r="F9" s="18" t="str">
        <x:v>USB 2.0 转 UART，UART &gt;= 5 Mbps，3.3 V I/O，内置振荡器</x:v>
      </x:c>
      <x:c r="G9" s="18" t="str">
        <x:v>SOIC-16 3.9x9.9 mm</x:v>
      </x:c>
      <x:c r="H9" s="20" t="n">
        <x:v>1</x:v>
      </x:c>
      <x:c r="I9" s="20" t="str">
        <x:v>每板</x:v>
      </x:c>
      <x:c r="J9" s="20" t="n">
        <x:f>IF($I9="每板",$H9*$E$3,$H9)</x:f>
        <x:v>5</x:v>
      </x:c>
      <x:c r="K9" s="22" t="n">
        <x:f>$G$3</x:f>
        <x:v>0.1</x:v>
      </x:c>
      <x:c r="L9" s="20" t="n">
        <x:v>1</x:v>
      </x:c>
      <x:c r="M9" s="20" t="n">
        <x:f>IF($B9="不采购",0,MAX($L9,ROUNDUP($J9*(1+$K9),0)))</x:f>
        <x:v>6</x:v>
      </x:c>
      <x:c r="N9" s="20" t="str">
        <x:v>CH343G</x:v>
      </x:c>
      <x:c r="O9" s="20" t="str">
        <x:v>WCH</x:v>
      </x:c>
      <x:c r="P9" s="20" t="str">
        <x:v>立创商城/嘉立创</x:v>
      </x:c>
      <x:c r="Q9" s="21" t="n">
        <x:v>4.5</x:v>
      </x:c>
      <x:c r="R9" s="21"/>
      <x:c r="S9" s="21" t="n">
        <x:f>IF($R9&gt;0,$R9,$Q9)</x:f>
        <x:v>4.5</x:v>
      </x:c>
      <x:c r="T9" s="21" t="n">
        <x:f>$M9*$S9</x:f>
        <x:v>27</x:v>
      </x:c>
      <x:c r="U9" s="18" t="str">
        <x:v>预算估算，未询价</x:v>
      </x:c>
      <x:c r="V9" s="23" t="str">
        <x:v>首批关键</x:v>
      </x:c>
      <x:c r="W9" s="23" t="str">
        <x:v>中</x:v>
      </x:c>
      <x:c r="X9" s="24" t="str">
        <x:v>满足 5 Mbps；禁止用速率不足的 CP2102N 替代。</x:v>
      </x:c>
      <x:c r="Y9" s="24" t="str">
        <x:v>requirements FR-002/FR-003；design_intent U1</x:v>
      </x:c>
    </x:row>
    <x:row r="10">
      <x:c r="A10" s="18" t="n">
        <x:v>2</x:v>
      </x:c>
      <x:c r="B10" s="18" t="str">
        <x:v>必装元件</x:v>
      </x:c>
      <x:c r="C10" s="18" t="str">
        <x:v>USB ESD</x:v>
      </x:c>
      <x:c r="D10" s="19" t="str">
        <x:v>U2</x:v>
      </x:c>
      <x:c r="E10" s="18" t="str">
        <x:v>USBLC6-2SC6</x:v>
      </x:c>
      <x:c r="F10" s="18" t="str">
        <x:v>USB 2.0 D+/D- ESD 保护，低电容</x:v>
      </x:c>
      <x:c r="G10" s="18" t="str">
        <x:v>SOT-23-6</x:v>
      </x:c>
      <x:c r="H10" s="20" t="n">
        <x:v>1</x:v>
      </x:c>
      <x:c r="I10" s="20" t="str">
        <x:v>每板</x:v>
      </x:c>
      <x:c r="J10" s="20" t="n">
        <x:f>IF($I10="每板",$H10*$E$3,$H10)</x:f>
        <x:v>5</x:v>
      </x:c>
      <x:c r="K10" s="22" t="n">
        <x:f>$G$3</x:f>
        <x:v>0.1</x:v>
      </x:c>
      <x:c r="L10" s="20" t="n">
        <x:v>1</x:v>
      </x:c>
      <x:c r="M10" s="20" t="n">
        <x:f>IF($B10="不采购",0,MAX($L10,ROUNDUP($J10*(1+$K10),0)))</x:f>
        <x:v>6</x:v>
      </x:c>
      <x:c r="N10" s="20" t="str">
        <x:v>USBLC6-2SC6</x:v>
      </x:c>
      <x:c r="O10" s="20" t="str">
        <x:v>STMicroelectronics</x:v>
      </x:c>
      <x:c r="P10" s="20" t="str">
        <x:v>立创商城/嘉立创</x:v>
      </x:c>
      <x:c r="Q10" s="21" t="n">
        <x:v>1.2</x:v>
      </x:c>
      <x:c r="R10" s="21"/>
      <x:c r="S10" s="21" t="n">
        <x:f>IF($R10&gt;0,$R10,$Q10)</x:f>
        <x:v>1.2</x:v>
      </x:c>
      <x:c r="T10" s="21" t="n">
        <x:f>$M10*$S10</x:f>
        <x:v>7.199999999999999</x:v>
      </x:c>
      <x:c r="U10" s="18" t="str">
        <x:v>预算估算，未询价</x:v>
      </x:c>
      <x:c r="V10" s="23" t="str">
        <x:v>常规</x:v>
      </x:c>
      <x:c r="W10" s="23" t="str">
        <x:v>低</x:v>
      </x:c>
      <x:c r="X10" s="24" t="str">
        <x:v>优先选常用现货批次。</x:v>
      </x:c>
      <x:c r="Y10" s="24" t="str">
        <x:v>requirements FR-001；design_intent U2</x:v>
      </x:c>
    </x:row>
    <x:row r="11">
      <x:c r="A11" s="18" t="n">
        <x:v>3</x:v>
      </x:c>
      <x:c r="B11" s="18" t="str">
        <x:v>必装元件</x:v>
      </x:c>
      <x:c r="C11" s="18" t="str">
        <x:v>数字隔离器</x:v>
      </x:c>
      <x:c r="D11" s="19" t="str">
        <x:v>U3</x:v>
      </x:c>
      <x:c r="E11" s="18" t="str">
        <x:v>ISO7721D</x:v>
      </x:c>
      <x:c r="F11" s="18" t="str">
        <x:v>双通道数字隔离器，&gt;= 5 Mbps，1.5 kVrms 目标</x:v>
      </x:c>
      <x:c r="G11" s="18" t="str">
        <x:v>SOIC-8 3.9x4.9 mm</x:v>
      </x:c>
      <x:c r="H11" s="20" t="n">
        <x:v>1</x:v>
      </x:c>
      <x:c r="I11" s="20" t="str">
        <x:v>每板</x:v>
      </x:c>
      <x:c r="J11" s="20" t="n">
        <x:f>IF($I11="每板",$H11*$E$3,$H11)</x:f>
        <x:v>5</x:v>
      </x:c>
      <x:c r="K11" s="22" t="n">
        <x:f>$G$3</x:f>
        <x:v>0.1</x:v>
      </x:c>
      <x:c r="L11" s="20" t="n">
        <x:v>1</x:v>
      </x:c>
      <x:c r="M11" s="20" t="n">
        <x:f>IF($B11="不采购",0,MAX($L11,ROUNDUP($J11*(1+$K11),0)))</x:f>
        <x:v>6</x:v>
      </x:c>
      <x:c r="N11" s="20" t="str">
        <x:v>ISO7721D</x:v>
      </x:c>
      <x:c r="O11" s="20" t="str">
        <x:v>Texas Instruments</x:v>
      </x:c>
      <x:c r="P11" s="20" t="str">
        <x:v>立创商城/DigiKey</x:v>
      </x:c>
      <x:c r="Q11" s="21" t="n">
        <x:v>12</x:v>
      </x:c>
      <x:c r="R11" s="21"/>
      <x:c r="S11" s="21" t="n">
        <x:f>IF($R11&gt;0,$R11,$Q11)</x:f>
        <x:v>12</x:v>
      </x:c>
      <x:c r="T11" s="21" t="n">
        <x:f>$M11*$S11</x:f>
        <x:v>72</x:v>
      </x:c>
      <x:c r="U11" s="18" t="str">
        <x:v>预算估算，未询价</x:v>
      </x:c>
      <x:c r="V11" s="23" t="str">
        <x:v>首批关键</x:v>
      </x:c>
      <x:c r="W11" s="23" t="str">
        <x:v>中</x:v>
      </x:c>
      <x:c r="X11" s="24" t="str">
        <x:v>替代料必须同时满足隔离等级、速率和 SOIC-8 封装。</x:v>
      </x:c>
      <x:c r="Y11" s="24" t="str">
        <x:v>requirements FR-005/ER-004；design_intent U3</x:v>
      </x:c>
    </x:row>
    <x:row r="12">
      <x:c r="A12" s="18" t="n">
        <x:v>4</x:v>
      </x:c>
      <x:c r="B12" s="18" t="str">
        <x:v>必装元件</x:v>
      </x:c>
      <x:c r="C12" s="18" t="str">
        <x:v>隔离 LDO</x:v>
      </x:c>
      <x:c r="D12" s="19" t="str">
        <x:v>U4</x:v>
      </x:c>
      <x:c r="E12" s="18" t="str">
        <x:v>AP2112K-3.3</x:v>
      </x:c>
      <x:c r="F12" s="18" t="str">
        <x:v>3.3 V 固定输出，隔离侧供电，&gt;= 100 mA</x:v>
      </x:c>
      <x:c r="G12" s="18" t="str">
        <x:v>SOT-23-5</x:v>
      </x:c>
      <x:c r="H12" s="20" t="n">
        <x:v>1</x:v>
      </x:c>
      <x:c r="I12" s="20" t="str">
        <x:v>每板</x:v>
      </x:c>
      <x:c r="J12" s="20" t="n">
        <x:f>IF($I12="每板",$H12*$E$3,$H12)</x:f>
        <x:v>5</x:v>
      </x:c>
      <x:c r="K12" s="22" t="n">
        <x:f>$G$3</x:f>
        <x:v>0.1</x:v>
      </x:c>
      <x:c r="L12" s="20" t="n">
        <x:v>1</x:v>
      </x:c>
      <x:c r="M12" s="20" t="n">
        <x:f>IF($B12="不采购",0,MAX($L12,ROUNDUP($J12*(1+$K12),0)))</x:f>
        <x:v>6</x:v>
      </x:c>
      <x:c r="N12" s="20" t="str">
        <x:v>AP2112K-3.3TRG1</x:v>
      </x:c>
      <x:c r="O12" s="20" t="str">
        <x:v>Diodes Incorporated</x:v>
      </x:c>
      <x:c r="P12" s="20" t="str">
        <x:v>立创商城/嘉立创</x:v>
      </x:c>
      <x:c r="Q12" s="21" t="n">
        <x:v>0.8</x:v>
      </x:c>
      <x:c r="R12" s="21"/>
      <x:c r="S12" s="21" t="n">
        <x:f>IF($R12&gt;0,$R12,$Q12)</x:f>
        <x:v>0.8</x:v>
      </x:c>
      <x:c r="T12" s="21" t="n">
        <x:f>$M12*$S12</x:f>
        <x:v>4.800000000000001</x:v>
      </x:c>
      <x:c r="U12" s="18" t="str">
        <x:v>预算估算，未询价</x:v>
      </x:c>
      <x:c r="V12" s="23" t="str">
        <x:v>常规</x:v>
      </x:c>
      <x:c r="W12" s="23" t="str">
        <x:v>低</x:v>
      </x:c>
      <x:c r="X12" s="24" t="str">
        <x:v>确认固定 3.3 V 版本。</x:v>
      </x:c>
      <x:c r="Y12" s="24" t="str">
        <x:v>requirements FR-004/ER-003；design_intent U4</x:v>
      </x:c>
    </x:row>
    <x:row r="13">
      <x:c r="A13" s="18" t="n">
        <x:v>5</x:v>
      </x:c>
      <x:c r="B13" s="18" t="str">
        <x:v>必装元件</x:v>
      </x:c>
      <x:c r="C13" s="18" t="str">
        <x:v>隔离电源</x:v>
      </x:c>
      <x:c r="D13" s="19" t="str">
        <x:v>PS1</x:v>
      </x:c>
      <x:c r="E13" s="18" t="str">
        <x:v>IB0505LS-1WR3</x:v>
      </x:c>
      <x:c r="F13" s="18" t="str">
        <x:v>5 V 输入、5 V 输出、1 W 隔离 DC/DC，1500 VDC 隔离</x:v>
      </x:c>
      <x:c r="G13" s="18" t="str">
        <x:v>SIP,19.5x6x10 mm</x:v>
      </x:c>
      <x:c r="H13" s="20" t="n">
        <x:v>1</x:v>
      </x:c>
      <x:c r="I13" s="20" t="str">
        <x:v>每板</x:v>
      </x:c>
      <x:c r="J13" s="20" t="n">
        <x:f>IF($I13="每板",$H13*$E$3,$H13)</x:f>
        <x:v>5</x:v>
      </x:c>
      <x:c r="K13" s="22" t="n">
        <x:f>$G$3</x:f>
        <x:v>0.1</x:v>
      </x:c>
      <x:c r="L13" s="20" t="n">
        <x:v>1</x:v>
      </x:c>
      <x:c r="M13" s="20" t="n">
        <x:f>IF($B13="不采购",0,MAX($L13,ROUNDUP($J13*(1+$K13),0)))</x:f>
        <x:v>6</x:v>
      </x:c>
      <x:c r="N13" s="20" t="str">
        <x:v>IB0505LS-1WR3</x:v>
      </x:c>
      <x:c r="O13" s="20" t="str">
        <x:v>YLPTEC</x:v>
      </x:c>
      <x:c r="P13" s="20" t="str">
        <x:v>立创商城</x:v>
      </x:c>
      <x:c r="Q13" s="21" t="n">
        <x:v>5.5</x:v>
      </x:c>
      <x:c r="R13" s="21"/>
      <x:c r="S13" s="21" t="n">
        <x:f>IF($R13&gt;0,$R13,$Q13)</x:f>
        <x:v>5.5</x:v>
      </x:c>
      <x:c r="T13" s="21" t="n">
        <x:f>$M13*$S13</x:f>
        <x:v>33</x:v>
      </x:c>
      <x:c r="U13" s="18" t="str">
        <x:v>预算估算，未询价</x:v>
      </x:c>
      <x:c r="V13" s="23" t="str">
        <x:v>首批关键</x:v>
      </x:c>
      <x:c r="W13" s="23" t="str">
        <x:v>高</x:v>
      </x:c>
      <x:c r="X13" s="24" t="str">
        <x:v>LS 封装第 2/3 脚间距扩大，为隔离槽预留制造空间。</x:v>
      </x:c>
      <x:c r="Y13" s="24" t="str">
        <x:v>requirements ER-003/ER-004；design_intent PS1</x:v>
      </x:c>
    </x:row>
    <x:row r="14">
      <x:c r="A14" s="18" t="n">
        <x:v>6</x:v>
      </x:c>
      <x:c r="B14" s="18" t="str">
        <x:v>必装元件</x:v>
      </x:c>
      <x:c r="C14" s="18" t="str">
        <x:v>USB-C 连接器</x:v>
      </x:c>
      <x:c r="D14" s="19" t="str">
        <x:v>J1</x:v>
      </x:c>
      <x:c r="E14" s="18" t="str">
        <x:v>USB-C 母座 USB 2.0 16P</x:v>
      </x:c>
      <x:c r="F14" s="18" t="str">
        <x:v>16P、USB 2.0、板载贴片/插件版本需与封装一致</x:v>
      </x:c>
      <x:c r="G14" s="18" t="str">
        <x:v>XKB U262-16XN-4BVC11</x:v>
      </x:c>
      <x:c r="H14" s="20" t="n">
        <x:v>1</x:v>
      </x:c>
      <x:c r="I14" s="20" t="str">
        <x:v>每板</x:v>
      </x:c>
      <x:c r="J14" s="20" t="n">
        <x:f>IF($I14="每板",$H14*$E$3,$H14)</x:f>
        <x:v>5</x:v>
      </x:c>
      <x:c r="K14" s="22" t="n">
        <x:f>$G$3</x:f>
        <x:v>0.1</x:v>
      </x:c>
      <x:c r="L14" s="20" t="n">
        <x:v>1</x:v>
      </x:c>
      <x:c r="M14" s="20" t="n">
        <x:f>IF($B14="不采购",0,MAX($L14,ROUNDUP($J14*(1+$K14),0)))</x:f>
        <x:v>6</x:v>
      </x:c>
      <x:c r="N14" s="20" t="str">
        <x:v>U262-16XN-4BVC11</x:v>
      </x:c>
      <x:c r="O14" s="20" t="str">
        <x:v>XKB Connectivity</x:v>
      </x:c>
      <x:c r="P14" s="20" t="str">
        <x:v>立创商城</x:v>
      </x:c>
      <x:c r="Q14" s="21" t="n">
        <x:v>2.2</x:v>
      </x:c>
      <x:c r="R14" s="21"/>
      <x:c r="S14" s="21" t="n">
        <x:f>IF($R14&gt;0,$R14,$Q14)</x:f>
        <x:v>2.2</x:v>
      </x:c>
      <x:c r="T14" s="21" t="n">
        <x:f>$M14*$S14</x:f>
        <x:v>13.200000000000001</x:v>
      </x:c>
      <x:c r="U14" s="18" t="str">
        <x:v>预算估算，未询价</x:v>
      </x:c>
      <x:c r="V14" s="23" t="str">
        <x:v>常规</x:v>
      </x:c>
      <x:c r="W14" s="23" t="str">
        <x:v>中</x:v>
      </x:c>
      <x:c r="X14" s="24" t="str">
        <x:v>必须核对焊盘、定位柱和外壳固定方式。</x:v>
      </x:c>
      <x:c r="Y14" s="24" t="str">
        <x:v>requirements FR-001；design_intent J1</x:v>
      </x:c>
    </x:row>
    <x:row r="15">
      <x:c r="A15" s="18" t="n">
        <x:v>7</x:v>
      </x:c>
      <x:c r="B15" s="18" t="str">
        <x:v>必装元件</x:v>
      </x:c>
      <x:c r="C15" s="18" t="str">
        <x:v>UART 排针</x:v>
      </x:c>
      <x:c r="D15" s="19" t="str">
        <x:v>J2</x:v>
      </x:c>
      <x:c r="E15" s="18" t="str">
        <x:v>1x4 2.54 mm 直插排针</x:v>
      </x:c>
      <x:c r="F15" s="18" t="str">
        <x:v>1x4 垂直排针</x:v>
      </x:c>
      <x:c r="G15" s="18" t="str">
        <x:v>PinHeader 1x04 P2.54 mm</x:v>
      </x:c>
      <x:c r="H15" s="20" t="n">
        <x:v>1</x:v>
      </x:c>
      <x:c r="I15" s="20" t="str">
        <x:v>每板</x:v>
      </x:c>
      <x:c r="J15" s="20" t="n">
        <x:f>IF($I15="每板",$H15*$E$3,$H15)</x:f>
        <x:v>5</x:v>
      </x:c>
      <x:c r="K15" s="22" t="n">
        <x:f>$G$3</x:f>
        <x:v>0.1</x:v>
      </x:c>
      <x:c r="L15" s="20" t="n">
        <x:v>1</x:v>
      </x:c>
      <x:c r="M15" s="20" t="n">
        <x:f>IF($B15="不采购",0,MAX($L15,ROUNDUP($J15*(1+$K15),0)))</x:f>
        <x:v>6</x:v>
      </x:c>
      <x:c r="N15" s="20" t="str">
        <x:v>1x4 2.54 mm 直针</x:v>
      </x:c>
      <x:c r="O15" s="20" t="str">
        <x:v>常用国产</x:v>
      </x:c>
      <x:c r="P15" s="20" t="str">
        <x:v>立创商城/淘宝</x:v>
      </x:c>
      <x:c r="Q15" s="21" t="n">
        <x:v>0.3</x:v>
      </x:c>
      <x:c r="R15" s="21"/>
      <x:c r="S15" s="21" t="n">
        <x:f>IF($R15&gt;0,$R15,$Q15)</x:f>
        <x:v>0.3</x:v>
      </x:c>
      <x:c r="T15" s="21" t="n">
        <x:f>$M15*$S15</x:f>
        <x:v>1.7999999999999998</x:v>
      </x:c>
      <x:c r="U15" s="18" t="str">
        <x:v>预算估算，未询价</x:v>
      </x:c>
      <x:c r="V15" s="23" t="str">
        <x:v>常规</x:v>
      </x:c>
      <x:c r="W15" s="23" t="str">
        <x:v>低</x:v>
      </x:c>
      <x:c r="X15" s="24" t="str">
        <x:v>可选弯针需先确认机械方向。</x:v>
      </x:c>
      <x:c r="Y15" s="24" t="str">
        <x:v>requirements FR-007；design_intent J2</x:v>
      </x:c>
    </x:row>
    <x:row r="16">
      <x:c r="A16" s="18" t="n">
        <x:v>8</x:v>
      </x:c>
      <x:c r="B16" s="18" t="str">
        <x:v>必装元件</x:v>
      </x:c>
      <x:c r="C16" s="18" t="str">
        <x:v>VOUT 选择排针</x:v>
      </x:c>
      <x:c r="D16" s="19" t="str">
        <x:v>JP1</x:v>
      </x:c>
      <x:c r="E16" s="18" t="str">
        <x:v>1x3 2.54 mm 直插排针</x:v>
      </x:c>
      <x:c r="F16" s="18" t="str">
        <x:v>1x3 垂直排针，默认 1-2 短接</x:v>
      </x:c>
      <x:c r="G16" s="18" t="str">
        <x:v>PinHeader 1x03 P2.54 mm</x:v>
      </x:c>
      <x:c r="H16" s="20" t="n">
        <x:v>1</x:v>
      </x:c>
      <x:c r="I16" s="20" t="str">
        <x:v>每板</x:v>
      </x:c>
      <x:c r="J16" s="20" t="n">
        <x:f>IF($I16="每板",$H16*$E$3,$H16)</x:f>
        <x:v>5</x:v>
      </x:c>
      <x:c r="K16" s="22" t="n">
        <x:f>$G$3</x:f>
        <x:v>0.1</x:v>
      </x:c>
      <x:c r="L16" s="20" t="n">
        <x:v>1</x:v>
      </x:c>
      <x:c r="M16" s="20" t="n">
        <x:f>IF($B16="不采购",0,MAX($L16,ROUNDUP($J16*(1+$K16),0)))</x:f>
        <x:v>6</x:v>
      </x:c>
      <x:c r="N16" s="20" t="str">
        <x:v>1x3 2.54 mm 直针</x:v>
      </x:c>
      <x:c r="O16" s="20" t="str">
        <x:v>常用国产</x:v>
      </x:c>
      <x:c r="P16" s="20" t="str">
        <x:v>立创商城/淘宝</x:v>
      </x:c>
      <x:c r="Q16" s="21" t="n">
        <x:v>0.25</x:v>
      </x:c>
      <x:c r="R16" s="21"/>
      <x:c r="S16" s="21" t="n">
        <x:f>IF($R16&gt;0,$R16,$Q16)</x:f>
        <x:v>0.25</x:v>
      </x:c>
      <x:c r="T16" s="21" t="n">
        <x:f>$M16*$S16</x:f>
        <x:v>1.5</x:v>
      </x:c>
      <x:c r="U16" s="18" t="str">
        <x:v>预算估算，未询价</x:v>
      </x:c>
      <x:c r="V16" s="23" t="str">
        <x:v>常规</x:v>
      </x:c>
      <x:c r="W16" s="23" t="str">
        <x:v>低</x:v>
      </x:c>
      <x:c r="X16" s="24" t="str">
        <x:v>跳线帽可和 JP1 一起采购。</x:v>
      </x:c>
      <x:c r="Y16" s="24" t="str">
        <x:v>requirements FR-006；design_intent JP1</x:v>
      </x:c>
    </x:row>
    <x:row r="17">
      <x:c r="A17" s="18" t="n">
        <x:v>9</x:v>
      </x:c>
      <x:c r="B17" s="18" t="str">
        <x:v>必装元件</x:v>
      </x:c>
      <x:c r="C17" s="18" t="str">
        <x:v>输入保护</x:v>
      </x:c>
      <x:c r="D17" s="19" t="str">
        <x:v>F1</x:v>
      </x:c>
      <x:c r="E17" s="18" t="str">
        <x:v>0.5 A 自恢复保险丝</x:v>
      </x:c>
      <x:c r="F17" s="18" t="str">
        <x:v>保持电流 0.5 A，1206，耐压 &gt;= 6 V</x:v>
      </x:c>
      <x:c r="G17" s="18" t="str">
        <x:v>Fuse 1206</x:v>
      </x:c>
      <x:c r="H17" s="20" t="n">
        <x:v>1</x:v>
      </x:c>
      <x:c r="I17" s="20" t="str">
        <x:v>每板</x:v>
      </x:c>
      <x:c r="J17" s="20" t="n">
        <x:f>IF($I17="每板",$H17*$E$3,$H17)</x:f>
        <x:v>5</x:v>
      </x:c>
      <x:c r="K17" s="22" t="n">
        <x:f>$G$3</x:f>
        <x:v>0.1</x:v>
      </x:c>
      <x:c r="L17" s="20" t="n">
        <x:v>1</x:v>
      </x:c>
      <x:c r="M17" s="20" t="n">
        <x:f>IF($B17="不采购",0,MAX($L17,ROUNDUP($J17*(1+$K17),0)))</x:f>
        <x:v>6</x:v>
      </x:c>
      <x:c r="N17" s="20" t="str">
        <x:v>0.5 A PPTC 1206</x:v>
      </x:c>
      <x:c r="O17" s="20" t="str">
        <x:v>Littelfuse/Bourns</x:v>
      </x:c>
      <x:c r="P17" s="20" t="str">
        <x:v>立创商城</x:v>
      </x:c>
      <x:c r="Q17" s="21" t="n">
        <x:v>0.45</x:v>
      </x:c>
      <x:c r="R17" s="21"/>
      <x:c r="S17" s="21" t="n">
        <x:f>IF($R17&gt;0,$R17,$Q17)</x:f>
        <x:v>0.45</x:v>
      </x:c>
      <x:c r="T17" s="21" t="n">
        <x:f>$M17*$S17</x:f>
        <x:v>2.7</x:v>
      </x:c>
      <x:c r="U17" s="18" t="str">
        <x:v>预算估算，未询价</x:v>
      </x:c>
      <x:c r="V17" s="23" t="str">
        <x:v>常规</x:v>
      </x:c>
      <x:c r="W17" s="23" t="str">
        <x:v>低</x:v>
      </x:c>
      <x:c r="X17" s="24" t="str">
        <x:v>替换料需保持 hold current 和封装。</x:v>
      </x:c>
      <x:c r="Y17" s="24" t="str">
        <x:v>requirements ER-001；design_intent F1</x:v>
      </x:c>
    </x:row>
    <x:row r="18">
      <x:c r="A18" s="18" t="n">
        <x:v>10</x:v>
      </x:c>
      <x:c r="B18" s="18" t="str">
        <x:v>必装元件</x:v>
      </x:c>
      <x:c r="C18" s="18" t="str">
        <x:v>状态 LED</x:v>
      </x:c>
      <x:c r="D18" s="19" t="str">
        <x:v>D1</x:v>
      </x:c>
      <x:c r="E18" s="18" t="str">
        <x:v>活动状态 LED</x:v>
      </x:c>
      <x:c r="F18" s="18" t="str">
        <x:v>0603，颜色和驱动电流按现有 1 kOhm 限流设计</x:v>
      </x:c>
      <x:c r="G18" s="18" t="str">
        <x:v>LED 0603</x:v>
      </x:c>
      <x:c r="H18" s="20" t="n">
        <x:v>1</x:v>
      </x:c>
      <x:c r="I18" s="20" t="str">
        <x:v>每板</x:v>
      </x:c>
      <x:c r="J18" s="20" t="n">
        <x:f>IF($I18="每板",$H18*$E$3,$H18)</x:f>
        <x:v>5</x:v>
      </x:c>
      <x:c r="K18" s="22" t="n">
        <x:f>$G$3</x:f>
        <x:v>0.1</x:v>
      </x:c>
      <x:c r="L18" s="20" t="n">
        <x:v>1</x:v>
      </x:c>
      <x:c r="M18" s="20" t="n">
        <x:f>IF($B18="不采购",0,MAX($L18,ROUNDUP($J18*(1+$K18),0)))</x:f>
        <x:v>6</x:v>
      </x:c>
      <x:c r="N18" s="20" t="str">
        <x:v>0603 LED</x:v>
      </x:c>
      <x:c r="O18" s="20" t="str">
        <x:v>常用国产</x:v>
      </x:c>
      <x:c r="P18" s="20" t="str">
        <x:v>立创商城</x:v>
      </x:c>
      <x:c r="Q18" s="21" t="n">
        <x:v>0.15</x:v>
      </x:c>
      <x:c r="R18" s="21"/>
      <x:c r="S18" s="21" t="n">
        <x:f>IF($R18&gt;0,$R18,$Q18)</x:f>
        <x:v>0.15</x:v>
      </x:c>
      <x:c r="T18" s="21" t="n">
        <x:f>$M18*$S18</x:f>
        <x:v>0.8999999999999999</x:v>
      </x:c>
      <x:c r="U18" s="18" t="str">
        <x:v>预算估算，未询价</x:v>
      </x:c>
      <x:c r="V18" s="23" t="str">
        <x:v>常规</x:v>
      </x:c>
      <x:c r="W18" s="23" t="str">
        <x:v>低</x:v>
      </x:c>
      <x:c r="X18" s="24" t="str">
        <x:v>建议确认亮度与颜色。</x:v>
      </x:c>
      <x:c r="Y18" s="24" t="str">
        <x:v>requirements FR-008；design_intent D1</x:v>
      </x:c>
    </x:row>
    <x:row r="19">
      <x:c r="A19" s="18" t="n">
        <x:v>11</x:v>
      </x:c>
      <x:c r="B19" s="18" t="str">
        <x:v>必装元件</x:v>
      </x:c>
      <x:c r="C19" s="18" t="str">
        <x:v>状态 LED</x:v>
      </x:c>
      <x:c r="D19" s="19" t="str">
        <x:v>D2</x:v>
      </x:c>
      <x:c r="E19" s="18" t="str">
        <x:v>电源状态 LED</x:v>
      </x:c>
      <x:c r="F19" s="18" t="str">
        <x:v>0603，颜色和驱动电流按现有 1 kOhm 限流设计</x:v>
      </x:c>
      <x:c r="G19" s="18" t="str">
        <x:v>LED 0603</x:v>
      </x:c>
      <x:c r="H19" s="20" t="n">
        <x:v>1</x:v>
      </x:c>
      <x:c r="I19" s="20" t="str">
        <x:v>每板</x:v>
      </x:c>
      <x:c r="J19" s="20" t="n">
        <x:f>IF($I19="每板",$H19*$E$3,$H19)</x:f>
        <x:v>5</x:v>
      </x:c>
      <x:c r="K19" s="22" t="n">
        <x:f>$G$3</x:f>
        <x:v>0.1</x:v>
      </x:c>
      <x:c r="L19" s="20" t="n">
        <x:v>1</x:v>
      </x:c>
      <x:c r="M19" s="20" t="n">
        <x:f>IF($B19="不采购",0,MAX($L19,ROUNDUP($J19*(1+$K19),0)))</x:f>
        <x:v>6</x:v>
      </x:c>
      <x:c r="N19" s="20" t="str">
        <x:v>0603 LED</x:v>
      </x:c>
      <x:c r="O19" s="20" t="str">
        <x:v>常用国产</x:v>
      </x:c>
      <x:c r="P19" s="20" t="str">
        <x:v>立创商城</x:v>
      </x:c>
      <x:c r="Q19" s="21" t="n">
        <x:v>0.15</x:v>
      </x:c>
      <x:c r="R19" s="21"/>
      <x:c r="S19" s="21" t="n">
        <x:f>IF($R19&gt;0,$R19,$Q19)</x:f>
        <x:v>0.15</x:v>
      </x:c>
      <x:c r="T19" s="21" t="n">
        <x:f>$M19*$S19</x:f>
        <x:v>0.8999999999999999</x:v>
      </x:c>
      <x:c r="U19" s="18" t="str">
        <x:v>预算估算，未询价</x:v>
      </x:c>
      <x:c r="V19" s="23" t="str">
        <x:v>常规</x:v>
      </x:c>
      <x:c r="W19" s="23" t="str">
        <x:v>低</x:v>
      </x:c>
      <x:c r="X19" s="24" t="str">
        <x:v>建议与 D1 使用不同颜色。</x:v>
      </x:c>
      <x:c r="Y19" s="24" t="str">
        <x:v>requirements FR-008；design_intent D2</x:v>
      </x:c>
    </x:row>
    <x:row r="20">
      <x:c r="A20" s="18" t="n">
        <x:v>12</x:v>
      </x:c>
      <x:c r="B20" s="18" t="str">
        <x:v>必装元件</x:v>
      </x:c>
      <x:c r="C20" s="18" t="str">
        <x:v>电阻</x:v>
      </x:c>
      <x:c r="D20" s="19" t="str">
        <x:v>R1/R2</x:v>
      </x:c>
      <x:c r="E20" s="18" t="str">
        <x:v>5.1 kOhm 1%</x:v>
      </x:c>
      <x:c r="F20" s="18" t="str">
        <x:v>USB-C CC 下拉电阻，0402，1%</x:v>
      </x:c>
      <x:c r="G20" s="18" t="str">
        <x:v>0402</x:v>
      </x:c>
      <x:c r="H20" s="20" t="n">
        <x:v>2</x:v>
      </x:c>
      <x:c r="I20" s="20" t="str">
        <x:v>每板</x:v>
      </x:c>
      <x:c r="J20" s="20" t="n">
        <x:f>IF($I20="每板",$H20*$E$3,$H20)</x:f>
        <x:v>10</x:v>
      </x:c>
      <x:c r="K20" s="22" t="n">
        <x:f>$G$3</x:f>
        <x:v>0.1</x:v>
      </x:c>
      <x:c r="L20" s="20" t="n">
        <x:v>1</x:v>
      </x:c>
      <x:c r="M20" s="20" t="n">
        <x:f>IF($B20="不采购",0,MAX($L20,ROUNDUP($J20*(1+$K20),0)))</x:f>
        <x:v>11</x:v>
      </x:c>
      <x:c r="N20" s="20" t="str">
        <x:v>5.1 kOhm 0402 1%</x:v>
      </x:c>
      <x:c r="O20" s="20" t="str">
        <x:v>Yageo/厚声</x:v>
      </x:c>
      <x:c r="P20" s="20" t="str">
        <x:v>立创商城</x:v>
      </x:c>
      <x:c r="Q20" s="21" t="n">
        <x:v>0.03</x:v>
      </x:c>
      <x:c r="R20" s="21"/>
      <x:c r="S20" s="21" t="n">
        <x:f>IF($R20&gt;0,$R20,$Q20)</x:f>
        <x:v>0.03</x:v>
      </x:c>
      <x:c r="T20" s="21" t="n">
        <x:f>$M20*$S20</x:f>
        <x:v>0.32999999999999996</x:v>
      </x:c>
      <x:c r="U20" s="18" t="str">
        <x:v>预算估算，未询价</x:v>
      </x:c>
      <x:c r="V20" s="23" t="str">
        <x:v>常规</x:v>
      </x:c>
      <x:c r="W20" s="23" t="str">
        <x:v>低</x:v>
      </x:c>
      <x:c r="X20" s="24" t="str">
        <x:v>1% 精度。</x:v>
      </x:c>
      <x:c r="Y20" s="24" t="str">
        <x:v>requirements FR-001；design_intent R1/R2</x:v>
      </x:c>
    </x:row>
    <x:row r="21">
      <x:c r="A21" s="18" t="n">
        <x:v>13</x:v>
      </x:c>
      <x:c r="B21" s="18" t="str">
        <x:v>必装元件</x:v>
      </x:c>
      <x:c r="C21" s="18" t="str">
        <x:v>电阻</x:v>
      </x:c>
      <x:c r="D21" s="19" t="str">
        <x:v>R4/R5</x:v>
      </x:c>
      <x:c r="E21" s="18" t="str">
        <x:v>1 kOhm 1%</x:v>
      </x:c>
      <x:c r="F21" s="18" t="str">
        <x:v>LED 限流电阻，0402，1%</x:v>
      </x:c>
      <x:c r="G21" s="18" t="str">
        <x:v>0402</x:v>
      </x:c>
      <x:c r="H21" s="20" t="n">
        <x:v>2</x:v>
      </x:c>
      <x:c r="I21" s="20" t="str">
        <x:v>每板</x:v>
      </x:c>
      <x:c r="J21" s="20" t="n">
        <x:f>IF($I21="每板",$H21*$E$3,$H21)</x:f>
        <x:v>10</x:v>
      </x:c>
      <x:c r="K21" s="22" t="n">
        <x:f>$G$3</x:f>
        <x:v>0.1</x:v>
      </x:c>
      <x:c r="L21" s="20" t="n">
        <x:v>1</x:v>
      </x:c>
      <x:c r="M21" s="20" t="n">
        <x:f>IF($B21="不采购",0,MAX($L21,ROUNDUP($J21*(1+$K21),0)))</x:f>
        <x:v>11</x:v>
      </x:c>
      <x:c r="N21" s="20" t="str">
        <x:v>1 kOhm 0402 1%</x:v>
      </x:c>
      <x:c r="O21" s="20" t="str">
        <x:v>Yageo/厚声</x:v>
      </x:c>
      <x:c r="P21" s="20" t="str">
        <x:v>立创商城</x:v>
      </x:c>
      <x:c r="Q21" s="21" t="n">
        <x:v>0.03</x:v>
      </x:c>
      <x:c r="R21" s="21"/>
      <x:c r="S21" s="21" t="n">
        <x:f>IF($R21&gt;0,$R21,$Q21)</x:f>
        <x:v>0.03</x:v>
      </x:c>
      <x:c r="T21" s="21" t="n">
        <x:f>$M21*$S21</x:f>
        <x:v>0.32999999999999996</x:v>
      </x:c>
      <x:c r="U21" s="18" t="str">
        <x:v>预算估算，未询价</x:v>
      </x:c>
      <x:c r="V21" s="23" t="str">
        <x:v>常规</x:v>
      </x:c>
      <x:c r="W21" s="23" t="str">
        <x:v>低</x:v>
      </x:c>
      <x:c r="X21" s="24" t="str">
        <x:v>亮度不合适时可调值。</x:v>
      </x:c>
      <x:c r="Y21" s="24" t="str">
        <x:v>requirements FR-008；design_intent R4/R5</x:v>
      </x:c>
    </x:row>
    <x:row r="22">
      <x:c r="A22" s="18" t="n">
        <x:v>14</x:v>
      </x:c>
      <x:c r="B22" s="18" t="str">
        <x:v>必装元件</x:v>
      </x:c>
      <x:c r="C22" s="18" t="str">
        <x:v>电阻</x:v>
      </x:c>
      <x:c r="D22" s="19" t="str">
        <x:v>R6/R7</x:v>
      </x:c>
      <x:c r="E22" s="18" t="str">
        <x:v>33 Ohm 1%</x:v>
      </x:c>
      <x:c r="F22" s="18" t="str">
        <x:v>UART 串联端接，0402，1%</x:v>
      </x:c>
      <x:c r="G22" s="18" t="str">
        <x:v>0402</x:v>
      </x:c>
      <x:c r="H22" s="20" t="n">
        <x:v>2</x:v>
      </x:c>
      <x:c r="I22" s="20" t="str">
        <x:v>每板</x:v>
      </x:c>
      <x:c r="J22" s="20" t="n">
        <x:f>IF($I22="每板",$H22*$E$3,$H22)</x:f>
        <x:v>10</x:v>
      </x:c>
      <x:c r="K22" s="22" t="n">
        <x:f>$G$3</x:f>
        <x:v>0.1</x:v>
      </x:c>
      <x:c r="L22" s="20" t="n">
        <x:v>1</x:v>
      </x:c>
      <x:c r="M22" s="20" t="n">
        <x:f>IF($B22="不采购",0,MAX($L22,ROUNDUP($J22*(1+$K22),0)))</x:f>
        <x:v>11</x:v>
      </x:c>
      <x:c r="N22" s="20" t="str">
        <x:v>33 Ohm 0402 1%</x:v>
      </x:c>
      <x:c r="O22" s="20" t="str">
        <x:v>Yageo/厚声</x:v>
      </x:c>
      <x:c r="P22" s="20" t="str">
        <x:v>立创商城</x:v>
      </x:c>
      <x:c r="Q22" s="21" t="n">
        <x:v>0.03</x:v>
      </x:c>
      <x:c r="R22" s="21"/>
      <x:c r="S22" s="21" t="n">
        <x:f>IF($R22&gt;0,$R22,$Q22)</x:f>
        <x:v>0.03</x:v>
      </x:c>
      <x:c r="T22" s="21" t="n">
        <x:f>$M22*$S22</x:f>
        <x:v>0.32999999999999996</x:v>
      </x:c>
      <x:c r="U22" s="18" t="str">
        <x:v>预算估算，未询价</x:v>
      </x:c>
      <x:c r="V22" s="23" t="str">
        <x:v>常规</x:v>
      </x:c>
      <x:c r="W22" s="23" t="str">
        <x:v>低</x:v>
      </x:c>
      <x:c r="X22" s="24" t="str">
        <x:v>与 UART 速率和波形一起确认。</x:v>
      </x:c>
      <x:c r="Y22" s="24" t="str">
        <x:v>design_intent R6/R7</x:v>
      </x:c>
    </x:row>
    <x:row r="23">
      <x:c r="A23" s="18" t="n">
        <x:v>15</x:v>
      </x:c>
      <x:c r="B23" s="18" t="str">
        <x:v>必装元件</x:v>
      </x:c>
      <x:c r="C23" s="18" t="str">
        <x:v>电容</x:v>
      </x:c>
      <x:c r="D23" s="19" t="str">
        <x:v>C1</x:v>
      </x:c>
      <x:c r="E23" s="18" t="str">
        <x:v>4.7 uF</x:v>
      </x:c>
      <x:c r="F23" s="18" t="str">
        <x:v>USB 侧体去耦，0805，X5R/X7R，&gt;= 16 V</x:v>
      </x:c>
      <x:c r="G23" s="18" t="str">
        <x:v>0805</x:v>
      </x:c>
      <x:c r="H23" s="20" t="n">
        <x:v>1</x:v>
      </x:c>
      <x:c r="I23" s="20" t="str">
        <x:v>每板</x:v>
      </x:c>
      <x:c r="J23" s="20" t="n">
        <x:f>IF($I23="每板",$H23*$E$3,$H23)</x:f>
        <x:v>5</x:v>
      </x:c>
      <x:c r="K23" s="22" t="n">
        <x:f>$G$3</x:f>
        <x:v>0.1</x:v>
      </x:c>
      <x:c r="L23" s="20" t="n">
        <x:v>1</x:v>
      </x:c>
      <x:c r="M23" s="20" t="n">
        <x:f>IF($B23="不采购",0,MAX($L23,ROUNDUP($J23*(1+$K23),0)))</x:f>
        <x:v>6</x:v>
      </x:c>
      <x:c r="N23" s="20" t="str">
        <x:v>4.7 uF 0805 X5R</x:v>
      </x:c>
      <x:c r="O23" s="20" t="str">
        <x:v>Samsung/Yageo</x:v>
      </x:c>
      <x:c r="P23" s="20" t="str">
        <x:v>立创商城</x:v>
      </x:c>
      <x:c r="Q23" s="21" t="n">
        <x:v>0.4</x:v>
      </x:c>
      <x:c r="R23" s="21"/>
      <x:c r="S23" s="21" t="n">
        <x:f>IF($R23&gt;0,$R23,$Q23)</x:f>
        <x:v>0.4</x:v>
      </x:c>
      <x:c r="T23" s="21" t="n">
        <x:f>$M23*$S23</x:f>
        <x:v>2.4000000000000004</x:v>
      </x:c>
      <x:c r="U23" s="18" t="str">
        <x:v>预算估算，未询价</x:v>
      </x:c>
      <x:c r="V23" s="23" t="str">
        <x:v>常规</x:v>
      </x:c>
      <x:c r="W23" s="23" t="str">
        <x:v>低</x:v>
      </x:c>
      <x:c r="X23" s="24" t="str">
        <x:v>优先选择 25 V 余量版本。</x:v>
      </x:c>
      <x:c r="Y23" s="24" t="str">
        <x:v>requirements ER-008；design_intent C1</x:v>
      </x:c>
    </x:row>
    <x:row r="24">
      <x:c r="A24" s="18" t="n">
        <x:v>16</x:v>
      </x:c>
      <x:c r="B24" s="18" t="str">
        <x:v>必装元件</x:v>
      </x:c>
      <x:c r="C24" s="18" t="str">
        <x:v>电容</x:v>
      </x:c>
      <x:c r="D24" s="19" t="str">
        <x:v>C2-C5</x:v>
      </x:c>
      <x:c r="E24" s="18" t="str">
        <x:v>100 nF</x:v>
      </x:c>
      <x:c r="F24" s="18" t="str">
        <x:v>高频去耦，0402，X7R，&gt;= 25 V</x:v>
      </x:c>
      <x:c r="G24" s="18" t="str">
        <x:v>0402</x:v>
      </x:c>
      <x:c r="H24" s="20" t="n">
        <x:v>4</x:v>
      </x:c>
      <x:c r="I24" s="20" t="str">
        <x:v>每板</x:v>
      </x:c>
      <x:c r="J24" s="20" t="n">
        <x:f>IF($I24="每板",$H24*$E$3,$H24)</x:f>
        <x:v>20</x:v>
      </x:c>
      <x:c r="K24" s="22" t="n">
        <x:f>$G$3</x:f>
        <x:v>0.1</x:v>
      </x:c>
      <x:c r="L24" s="20" t="n">
        <x:v>1</x:v>
      </x:c>
      <x:c r="M24" s="20" t="n">
        <x:f>IF($B24="不采购",0,MAX($L24,ROUNDUP($J24*(1+$K24),0)))</x:f>
        <x:v>22</x:v>
      </x:c>
      <x:c r="N24" s="20" t="str">
        <x:v>100 nF 0402 X7R</x:v>
      </x:c>
      <x:c r="O24" s="20" t="str">
        <x:v>Samsung/Yageo</x:v>
      </x:c>
      <x:c r="P24" s="20" t="str">
        <x:v>立创商城</x:v>
      </x:c>
      <x:c r="Q24" s="21" t="n">
        <x:v>0.03</x:v>
      </x:c>
      <x:c r="R24" s="21"/>
      <x:c r="S24" s="21" t="n">
        <x:f>IF($R24&gt;0,$R24,$Q24)</x:f>
        <x:v>0.03</x:v>
      </x:c>
      <x:c r="T24" s="21" t="n">
        <x:f>$M24*$S24</x:f>
        <x:v>0.6599999999999999</x:v>
      </x:c>
      <x:c r="U24" s="18" t="str">
        <x:v>预算估算，未询价</x:v>
      </x:c>
      <x:c r="V24" s="23" t="str">
        <x:v>常规</x:v>
      </x:c>
      <x:c r="W24" s="23" t="str">
        <x:v>低</x:v>
      </x:c>
      <x:c r="X24" s="24" t="str">
        <x:v>小批量可按 100 只起购。</x:v>
      </x:c>
      <x:c r="Y24" s="24" t="str">
        <x:v>requirements ER-008；design_intent C2-C5</x:v>
      </x:c>
    </x:row>
    <x:row r="25">
      <x:c r="A25" s="18" t="n">
        <x:v>17</x:v>
      </x:c>
      <x:c r="B25" s="18" t="str">
        <x:v>必装元件</x:v>
      </x:c>
      <x:c r="C25" s="18" t="str">
        <x:v>电容</x:v>
      </x:c>
      <x:c r="D25" s="19" t="str">
        <x:v>C6/C10/C12</x:v>
      </x:c>
      <x:c r="E25" s="18" t="str">
        <x:v>10 uF</x:v>
      </x:c>
      <x:c r="F25" s="18" t="str">
        <x:v>体去耦，0603，X5R/X7R，&gt;= 16 V</x:v>
      </x:c>
      <x:c r="G25" s="18" t="str">
        <x:v>0603</x:v>
      </x:c>
      <x:c r="H25" s="20" t="n">
        <x:v>3</x:v>
      </x:c>
      <x:c r="I25" s="20" t="str">
        <x:v>每板</x:v>
      </x:c>
      <x:c r="J25" s="20" t="n">
        <x:f>IF($I25="每板",$H25*$E$3,$H25)</x:f>
        <x:v>15</x:v>
      </x:c>
      <x:c r="K25" s="22" t="n">
        <x:f>$G$3</x:f>
        <x:v>0.1</x:v>
      </x:c>
      <x:c r="L25" s="20" t="n">
        <x:v>1</x:v>
      </x:c>
      <x:c r="M25" s="20" t="n">
        <x:f>IF($B25="不采购",0,MAX($L25,ROUNDUP($J25*(1+$K25),0)))</x:f>
        <x:v>17</x:v>
      </x:c>
      <x:c r="N25" s="20" t="str">
        <x:v>10 uF 0603 X5R</x:v>
      </x:c>
      <x:c r="O25" s="20" t="str">
        <x:v>Samsung/Yageo</x:v>
      </x:c>
      <x:c r="P25" s="20" t="str">
        <x:v>立创商城</x:v>
      </x:c>
      <x:c r="Q25" s="21" t="n">
        <x:v>0.25</x:v>
      </x:c>
      <x:c r="R25" s="21"/>
      <x:c r="S25" s="21" t="n">
        <x:f>IF($R25&gt;0,$R25,$Q25)</x:f>
        <x:v>0.25</x:v>
      </x:c>
      <x:c r="T25" s="21" t="n">
        <x:f>$M25*$S25</x:f>
        <x:v>4.25</x:v>
      </x:c>
      <x:c r="U25" s="18" t="str">
        <x:v>预算估算，未询价</x:v>
      </x:c>
      <x:c r="V25" s="23" t="str">
        <x:v>常规</x:v>
      </x:c>
      <x:c r="W25" s="23" t="str">
        <x:v>低</x:v>
      </x:c>
      <x:c r="X25" s="24" t="str">
        <x:v>核对 DC bias 后有效容量。</x:v>
      </x:c>
      <x:c r="Y25" s="24" t="str">
        <x:v>requirements ER-008；design_intent C6/C10/C12</x:v>
      </x:c>
    </x:row>
    <x:row r="26">
      <x:c r="A26" s="18" t="n">
        <x:v>18</x:v>
      </x:c>
      <x:c r="B26" s="18" t="str">
        <x:v>必装元件</x:v>
      </x:c>
      <x:c r="C26" s="18" t="str">
        <x:v>电容</x:v>
      </x:c>
      <x:c r="D26" s="19" t="str">
        <x:v>C7/C8</x:v>
      </x:c>
      <x:c r="E26" s="18" t="str">
        <x:v>10 uF</x:v>
      </x:c>
      <x:c r="F26" s="18" t="str">
        <x:v>隔离电源输入/输出去耦，1206，&gt;= 25 V</x:v>
      </x:c>
      <x:c r="G26" s="18" t="str">
        <x:v>1206</x:v>
      </x:c>
      <x:c r="H26" s="20" t="n">
        <x:v>2</x:v>
      </x:c>
      <x:c r="I26" s="20" t="str">
        <x:v>每板</x:v>
      </x:c>
      <x:c r="J26" s="20" t="n">
        <x:f>IF($I26="每板",$H26*$E$3,$H26)</x:f>
        <x:v>10</x:v>
      </x:c>
      <x:c r="K26" s="22" t="n">
        <x:f>$G$3</x:f>
        <x:v>0.1</x:v>
      </x:c>
      <x:c r="L26" s="20" t="n">
        <x:v>1</x:v>
      </x:c>
      <x:c r="M26" s="20" t="n">
        <x:f>IF($B26="不采购",0,MAX($L26,ROUNDUP($J26*(1+$K26),0)))</x:f>
        <x:v>11</x:v>
      </x:c>
      <x:c r="N26" s="20" t="str">
        <x:v>10 uF 1206 X5R</x:v>
      </x:c>
      <x:c r="O26" s="20" t="str">
        <x:v>Samsung/Yageo</x:v>
      </x:c>
      <x:c r="P26" s="20" t="str">
        <x:v>立创商城</x:v>
      </x:c>
      <x:c r="Q26" s="21" t="n">
        <x:v>0.6</x:v>
      </x:c>
      <x:c r="R26" s="21"/>
      <x:c r="S26" s="21" t="n">
        <x:f>IF($R26&gt;0,$R26,$Q26)</x:f>
        <x:v>0.6</x:v>
      </x:c>
      <x:c r="T26" s="21" t="n">
        <x:f>$M26*$S26</x:f>
        <x:v>6.6</x:v>
      </x:c>
      <x:c r="U26" s="18" t="str">
        <x:v>预算估算，未询价</x:v>
      </x:c>
      <x:c r="V26" s="23" t="str">
        <x:v>常规</x:v>
      </x:c>
      <x:c r="W26" s="23" t="str">
        <x:v>低</x:v>
      </x:c>
      <x:c r="X26" s="24" t="str">
        <x:v>隔离电源附近优先考虑纹波和 ESR。</x:v>
      </x:c>
      <x:c r="Y26" s="24" t="str">
        <x:v>requirements ER-008/PCB-005；design_intent C7/C8</x:v>
      </x:c>
    </x:row>
    <x:row r="27">
      <x:c r="A27" s="18" t="n">
        <x:v>19</x:v>
      </x:c>
      <x:c r="B27" s="18" t="str">
        <x:v>必装元件</x:v>
      </x:c>
      <x:c r="C27" s="18" t="str">
        <x:v>电容</x:v>
      </x:c>
      <x:c r="D27" s="19" t="str">
        <x:v>C9/C11</x:v>
      </x:c>
      <x:c r="E27" s="18" t="str">
        <x:v>100 nF</x:v>
      </x:c>
      <x:c r="F27" s="18" t="str">
        <x:v>隔离侧高频去耦，0603，X7R，&gt;= 25 V</x:v>
      </x:c>
      <x:c r="G27" s="18" t="str">
        <x:v>0603</x:v>
      </x:c>
      <x:c r="H27" s="20" t="n">
        <x:v>2</x:v>
      </x:c>
      <x:c r="I27" s="20" t="str">
        <x:v>每板</x:v>
      </x:c>
      <x:c r="J27" s="20" t="n">
        <x:f>IF($I27="每板",$H27*$E$3,$H27)</x:f>
        <x:v>10</x:v>
      </x:c>
      <x:c r="K27" s="22" t="n">
        <x:f>$G$3</x:f>
        <x:v>0.1</x:v>
      </x:c>
      <x:c r="L27" s="20" t="n">
        <x:v>1</x:v>
      </x:c>
      <x:c r="M27" s="20" t="n">
        <x:f>IF($B27="不采购",0,MAX($L27,ROUNDUP($J27*(1+$K27),0)))</x:f>
        <x:v>11</x:v>
      </x:c>
      <x:c r="N27" s="20" t="str">
        <x:v>100 nF 0603 X7R</x:v>
      </x:c>
      <x:c r="O27" s="20" t="str">
        <x:v>Samsung/Yageo</x:v>
      </x:c>
      <x:c r="P27" s="20" t="str">
        <x:v>立创商城</x:v>
      </x:c>
      <x:c r="Q27" s="21" t="n">
        <x:v>0.04</x:v>
      </x:c>
      <x:c r="R27" s="21"/>
      <x:c r="S27" s="21" t="n">
        <x:f>IF($R27&gt;0,$R27,$Q27)</x:f>
        <x:v>0.04</x:v>
      </x:c>
      <x:c r="T27" s="21" t="n">
        <x:f>$M27*$S27</x:f>
        <x:v>0.44</x:v>
      </x:c>
      <x:c r="U27" s="18" t="str">
        <x:v>预算估算，未询价</x:v>
      </x:c>
      <x:c r="V27" s="23" t="str">
        <x:v>常规</x:v>
      </x:c>
      <x:c r="W27" s="23" t="str">
        <x:v>低</x:v>
      </x:c>
      <x:c r="X27" s="24" t="str">
        <x:v>可与隔离器就近放置配套采购。</x:v>
      </x:c>
      <x:c r="Y27" s="24" t="str">
        <x:v>requirements ER-008；design_intent C9/C11</x:v>
      </x:c>
    </x:row>
    <x:row r="28">
      <x:c r="A28" s="18" t="n">
        <x:v>20</x:v>
      </x:c>
      <x:c r="B28" s="18" t="str">
        <x:v>不采购</x:v>
      </x:c>
      <x:c r="C28" s="18" t="str">
        <x:v>PCB 测试点</x:v>
      </x:c>
      <x:c r="D28" s="19" t="str">
        <x:v>TP1-TP4</x:v>
      </x:c>
      <x:c r="E28" s="18" t="str">
        <x:v>1.0 mm 测试焊盘</x:v>
      </x:c>
      <x:c r="F28" s="18" t="str">
        <x:v>KiCad 符号仅表示 PCB 测试点，不需要单独采购器件</x:v>
      </x:c>
      <x:c r="G28" s="18" t="str">
        <x:v>TestPoint Pad D1.0 mm</x:v>
      </x:c>
      <x:c r="H28" s="20" t="n">
        <x:v>4</x:v>
      </x:c>
      <x:c r="I28" s="20" t="str">
        <x:v>每板</x:v>
      </x:c>
      <x:c r="J28" s="20" t="n">
        <x:f>IF($I28="每板",$H28*$E$3,$H28)</x:f>
        <x:v>20</x:v>
      </x:c>
      <x:c r="K28" s="22" t="n">
        <x:f>0</x:f>
        <x:v>0</x:v>
      </x:c>
      <x:c r="L28" s="20" t="n">
        <x:v>0</x:v>
      </x:c>
      <x:c r="M28" s="20" t="n">
        <x:f>IF($B28="不采购",0,MAX($L28,ROUNDUP($J28*(1+$K28),0)))</x:f>
        <x:v>0</x:v>
      </x:c>
      <x:c r="N28" s="20" t="str">
        <x:v>无</x:v>
      </x:c>
      <x:c r="O28" s="20" t="str">
        <x:v>不适用</x:v>
      </x:c>
      <x:c r="P28" s="20" t="str">
        <x:v>PCB 自带</x:v>
      </x:c>
      <x:c r="Q28" s="21" t="n">
        <x:v>0</x:v>
      </x:c>
      <x:c r="R28" s="21"/>
      <x:c r="S28" s="21" t="n">
        <x:f>IF($R28&gt;0,$R28,$Q28)</x:f>
        <x:v>0</x:v>
      </x:c>
      <x:c r="T28" s="21" t="n">
        <x:f>$M28*$S28</x:f>
        <x:v>0</x:v>
      </x:c>
      <x:c r="U28" s="18" t="str">
        <x:v>无需采购</x:v>
      </x:c>
      <x:c r="V28" s="23" t="str">
        <x:v>无采购</x:v>
      </x:c>
      <x:c r="W28" s="23" t="str">
        <x:v>服务</x:v>
      </x:c>
      <x:c r="X28" s="24" t="str">
        <x:v>如需实体测试环，需另选机械测试点并修改封装。</x:v>
      </x:c>
      <x:c r="Y28" s="24" t="str">
        <x:v>requirements FR-009；design_intent TP1-TP4</x:v>
      </x:c>
    </x:row>
    <x:row r="29">
      <x:c r="A29" s="18" t="n">
        <x:v>21</x:v>
      </x:c>
      <x:c r="B29" s="18" t="str">
        <x:v>PCB/装配</x:v>
      </x:c>
      <x:c r="C29" s="18" t="str">
        <x:v>PCB 制造</x:v>
      </x:c>
      <x:c r="D29" s="19" t="str">
        <x:v>PCB</x:v>
      </x:c>
      <x:c r="E29" s="18" t="str">
        <x:v>2 层 FR4 板</x:v>
      </x:c>
      <x:c r="F29" s="18" t="str">
        <x:v>55 x 32 mm、1.6 mm、1 oz、无铅 HASL、5 片试产</x:v>
      </x:c>
      <x:c r="G29" s="18" t="str">
        <x:v>PCB 服务</x:v>
      </x:c>
      <x:c r="H29" s="20" t="n">
        <x:v>1</x:v>
      </x:c>
      <x:c r="I29" s="20" t="str">
        <x:v>每项目</x:v>
      </x:c>
      <x:c r="J29" s="20" t="n">
        <x:f>IF($I29="每板",$H29*$E$3,$H29)</x:f>
        <x:v>1</x:v>
      </x:c>
      <x:c r="K29" s="22" t="n">
        <x:f>0</x:f>
        <x:v>0</x:v>
      </x:c>
      <x:c r="L29" s="20" t="n">
        <x:v>5</x:v>
      </x:c>
      <x:c r="M29" s="20" t="n">
        <x:f>IF($B29="不采购",0,MAX($L29,ROUNDUP($J29*(1+$K29),0)))</x:f>
        <x:v>5</x:v>
      </x:c>
      <x:c r="N29" s="20" t="str">
        <x:v>嘉立创 2 层标准工艺</x:v>
      </x:c>
      <x:c r="O29" s="20" t="str">
        <x:v>PCB 服务商</x:v>
      </x:c>
      <x:c r="P29" s="20" t="str">
        <x:v>嘉立创</x:v>
      </x:c>
      <x:c r="Q29" s="21" t="n">
        <x:v>16</x:v>
      </x:c>
      <x:c r="R29" s="21"/>
      <x:c r="S29" s="21" t="n">
        <x:f>IF($R29&gt;0,$R29,$Q29)</x:f>
        <x:v>16</x:v>
      </x:c>
      <x:c r="T29" s="21" t="n">
        <x:f>$M29*$S29</x:f>
        <x:v>80</x:v>
      </x:c>
      <x:c r="U29" s="18" t="str">
        <x:v>服务预算估算</x:v>
      </x:c>
      <x:c r="V29" s="23" t="str">
        <x:v>常规</x:v>
      </x:c>
      <x:c r="W29" s="23" t="str">
        <x:v>低</x:v>
      </x:c>
      <x:c r="X29" s="24" t="str">
        <x:v>按 5 片合计约 80 CNY 估算，折合单片预算 16 CNY；实际报价取决于板框、层数和交期。</x:v>
      </x:c>
      <x:c r="Y29" s="24" t="str">
        <x:v>requirements ME-001/ME-002/PCB-001/PCB-002</x:v>
      </x:c>
    </x:row>
    <x:row r="30">
      <x:c r="A30" s="18" t="n">
        <x:v>22</x:v>
      </x:c>
      <x:c r="B30" s="18" t="str">
        <x:v>PCB/装配</x:v>
      </x:c>
      <x:c r="C30" s="18" t="str">
        <x:v>SMT 钢网</x:v>
      </x:c>
      <x:c r="D30" s="19" t="str">
        <x:v>STENCIL</x:v>
      </x:c>
      <x:c r="E30" s="18" t="str">
        <x:v>SMT 钢网</x:v>
      </x:c>
      <x:c r="F30" s="18" t="str">
        <x:v>单面小钢网或拼版钢网，按最终 PCB 文件定制</x:v>
      </x:c>
      <x:c r="G30" s="18" t="str">
        <x:v>服务</x:v>
      </x:c>
      <x:c r="H30" s="20" t="n">
        <x:v>1</x:v>
      </x:c>
      <x:c r="I30" s="20" t="str">
        <x:v>每项目</x:v>
      </x:c>
      <x:c r="J30" s="20" t="n">
        <x:f>IF($I30="每板",$H30*$E$3,$H30)</x:f>
        <x:v>1</x:v>
      </x:c>
      <x:c r="K30" s="22" t="n">
        <x:f>0</x:f>
        <x:v>0</x:v>
      </x:c>
      <x:c r="L30" s="20" t="n">
        <x:v>1</x:v>
      </x:c>
      <x:c r="M30" s="20" t="n">
        <x:f>IF($B30="不采购",0,MAX($L30,ROUNDUP($J30*(1+$K30),0)))</x:f>
        <x:v>1</x:v>
      </x:c>
      <x:c r="N30" s="20" t="str">
        <x:v>嘉立创钢网服务</x:v>
      </x:c>
      <x:c r="O30" s="20" t="str">
        <x:v>PCB 服务商</x:v>
      </x:c>
      <x:c r="P30" s="20" t="str">
        <x:v>嘉立创</x:v>
      </x:c>
      <x:c r="Q30" s="21" t="n">
        <x:v>50</x:v>
      </x:c>
      <x:c r="R30" s="21"/>
      <x:c r="S30" s="21" t="n">
        <x:f>IF($R30&gt;0,$R30,$Q30)</x:f>
        <x:v>50</x:v>
      </x:c>
      <x:c r="T30" s="21" t="n">
        <x:f>$M30*$S30</x:f>
        <x:v>50</x:v>
      </x:c>
      <x:c r="U30" s="18" t="str">
        <x:v>服务预算估算</x:v>
      </x:c>
      <x:c r="V30" s="23" t="str">
        <x:v>后置</x:v>
      </x:c>
      <x:c r="W30" s="23" t="str">
        <x:v>低</x:v>
      </x:c>
      <x:c r="X30" s="24" t="str">
        <x:v>如果采用代工贴片，可不单独采购钢网。</x:v>
      </x:c>
      <x:c r="Y30" s="24" t="str">
        <x:v>manufacturing</x:v>
      </x:c>
    </x:row>
    <x:row r="31">
      <x:c r="A31" s="18" t="n">
        <x:v>23</x:v>
      </x:c>
      <x:c r="B31" s="18" t="str">
        <x:v>PCB/装配</x:v>
      </x:c>
      <x:c r="C31" s="18" t="str">
        <x:v>SMT 工程费</x:v>
      </x:c>
      <x:c r="D31" s="19" t="str">
        <x:v>SMT-SETUP</x:v>
      </x:c>
      <x:c r="E31" s="18" t="str">
        <x:v>SMT 上机/工程费</x:v>
      </x:c>
      <x:c r="F31" s="18" t="str">
        <x:v>首批 5 片的贴片开机和编程费用</x:v>
      </x:c>
      <x:c r="G31" s="18" t="str">
        <x:v>服务</x:v>
      </x:c>
      <x:c r="H31" s="20" t="n">
        <x:v>1</x:v>
      </x:c>
      <x:c r="I31" s="20" t="str">
        <x:v>每项目</x:v>
      </x:c>
      <x:c r="J31" s="20" t="n">
        <x:f>IF($I31="每板",$H31*$E$3,$H31)</x:f>
        <x:v>1</x:v>
      </x:c>
      <x:c r="K31" s="22" t="n">
        <x:f>0</x:f>
        <x:v>0</x:v>
      </x:c>
      <x:c r="L31" s="20" t="n">
        <x:v>1</x:v>
      </x:c>
      <x:c r="M31" s="20" t="n">
        <x:f>IF($B31="不采购",0,MAX($L31,ROUNDUP($J31*(1+$K31),0)))</x:f>
        <x:v>1</x:v>
      </x:c>
      <x:c r="N31" s="20" t="str">
        <x:v>嘉立创 SMT 或本地代工</x:v>
      </x:c>
      <x:c r="O31" s="20" t="str">
        <x:v>装配服务商</x:v>
      </x:c>
      <x:c r="P31" s="20" t="str">
        <x:v>嘉立创/本地</x:v>
      </x:c>
      <x:c r="Q31" s="21" t="n">
        <x:v>200</x:v>
      </x:c>
      <x:c r="R31" s="21"/>
      <x:c r="S31" s="21" t="n">
        <x:f>IF($R31&gt;0,$R31,$Q31)</x:f>
        <x:v>200</x:v>
      </x:c>
      <x:c r="T31" s="21" t="n">
        <x:f>$M31*$S31</x:f>
        <x:v>200</x:v>
      </x:c>
      <x:c r="U31" s="18" t="str">
        <x:v>服务预算估算</x:v>
      </x:c>
      <x:c r="V31" s="23" t="str">
        <x:v>常规</x:v>
      </x:c>
      <x:c r="W31" s="23" t="str">
        <x:v>低</x:v>
      </x:c>
      <x:c r="X31" s="24" t="str">
        <x:v>以最终 BOM/CPL 和器件库存为准。</x:v>
      </x:c>
      <x:c r="Y31" s="24" t="str">
        <x:v>requirements VER-005</x:v>
      </x:c>
    </x:row>
    <x:row r="32">
      <x:c r="A32" s="18" t="n">
        <x:v>24</x:v>
      </x:c>
      <x:c r="B32" s="18" t="str">
        <x:v>PCB/装配</x:v>
      </x:c>
      <x:c r="C32" s="18" t="str">
        <x:v>SMT 贴片</x:v>
      </x:c>
      <x:c r="D32" s="19" t="str">
        <x:v>SMT-LABOR</x:v>
      </x:c>
      <x:c r="E32" s="18" t="str">
        <x:v>SMT 贴片加工</x:v>
      </x:c>
      <x:c r="F32" s="18" t="str">
        <x:v>按每板预计 30-40 个贴装点估算</x:v>
      </x:c>
      <x:c r="G32" s="18" t="str">
        <x:v>服务</x:v>
      </x:c>
      <x:c r="H32" s="20" t="n">
        <x:v>1</x:v>
      </x:c>
      <x:c r="I32" s="20" t="str">
        <x:v>每板</x:v>
      </x:c>
      <x:c r="J32" s="20" t="n">
        <x:f>IF($I32="每板",$H32*$E$3,$H32)</x:f>
        <x:v>5</x:v>
      </x:c>
      <x:c r="K32" s="22" t="n">
        <x:f>0</x:f>
        <x:v>0</x:v>
      </x:c>
      <x:c r="L32" s="20" t="n">
        <x:v>1</x:v>
      </x:c>
      <x:c r="M32" s="20" t="n">
        <x:f>IF($B32="不采购",0,MAX($L32,ROUNDUP($J32*(1+$K32),0)))</x:f>
        <x:v>5</x:v>
      </x:c>
      <x:c r="N32" s="20" t="str">
        <x:v>SMT 拼板加工</x:v>
      </x:c>
      <x:c r="O32" s="20" t="str">
        <x:v>装配服务商</x:v>
      </x:c>
      <x:c r="P32" s="20" t="str">
        <x:v>嘉立创/本地</x:v>
      </x:c>
      <x:c r="Q32" s="21" t="n">
        <x:v>15</x:v>
      </x:c>
      <x:c r="R32" s="21"/>
      <x:c r="S32" s="21" t="n">
        <x:f>IF($R32&gt;0,$R32,$Q32)</x:f>
        <x:v>15</x:v>
      </x:c>
      <x:c r="T32" s="21" t="n">
        <x:f>$M32*$S32</x:f>
        <x:v>75</x:v>
      </x:c>
      <x:c r="U32" s="18" t="str">
        <x:v>服务预算估算</x:v>
      </x:c>
      <x:c r="V32" s="23" t="str">
        <x:v>常规</x:v>
      </x:c>
      <x:c r="W32" s="23" t="str">
        <x:v>低</x:v>
      </x:c>
      <x:c r="X32" s="24" t="str">
        <x:v>实际以焊点和特殊器件数量为准。</x:v>
      </x:c>
      <x:c r="Y32" s="24" t="str">
        <x:v>requirements VER-005</x:v>
      </x:c>
    </x:row>
    <x:row r="33">
      <x:c r="A33" s="18" t="n">
        <x:v>25</x:v>
      </x:c>
      <x:c r="B33" s="18" t="str">
        <x:v>PCB/装配</x:v>
      </x:c>
      <x:c r="C33" s="18" t="str">
        <x:v>THT 插件焊接</x:v>
      </x:c>
      <x:c r="D33" s="19" t="str">
        <x:v>THT-LABOR</x:v>
      </x:c>
      <x:c r="E33" s="18" t="str">
        <x:v>排针和隔离电源插件焊接</x:v>
      </x:c>
      <x:c r="F33" s="18" t="str">
        <x:v>J2、JP1、PS1 等插件装配和焊接</x:v>
      </x:c>
      <x:c r="G33" s="18" t="str">
        <x:v>服务</x:v>
      </x:c>
      <x:c r="H33" s="20" t="n">
        <x:v>1</x:v>
      </x:c>
      <x:c r="I33" s="20" t="str">
        <x:v>每板</x:v>
      </x:c>
      <x:c r="J33" s="20" t="n">
        <x:f>IF($I33="每板",$H33*$E$3,$H33)</x:f>
        <x:v>5</x:v>
      </x:c>
      <x:c r="K33" s="22" t="n">
        <x:f>0</x:f>
        <x:v>0</x:v>
      </x:c>
      <x:c r="L33" s="20" t="n">
        <x:v>1</x:v>
      </x:c>
      <x:c r="M33" s="20" t="n">
        <x:f>IF($B33="不采购",0,MAX($L33,ROUNDUP($J33*(1+$K33),0)))</x:f>
        <x:v>5</x:v>
      </x:c>
      <x:c r="N33" s="20" t="str">
        <x:v>人工插件焊接</x:v>
      </x:c>
      <x:c r="O33" s="20" t="str">
        <x:v>装配服务商</x:v>
      </x:c>
      <x:c r="P33" s="20" t="str">
        <x:v>本地</x:v>
      </x:c>
      <x:c r="Q33" s="21" t="n">
        <x:v>10</x:v>
      </x:c>
      <x:c r="R33" s="21"/>
      <x:c r="S33" s="21" t="n">
        <x:f>IF($R33&gt;0,$R33,$Q33)</x:f>
        <x:v>10</x:v>
      </x:c>
      <x:c r="T33" s="21" t="n">
        <x:f>$M33*$S33</x:f>
        <x:v>50</x:v>
      </x:c>
      <x:c r="U33" s="18" t="str">
        <x:v>服务预算估算</x:v>
      </x:c>
      <x:c r="V33" s="23" t="str">
        <x:v>常规</x:v>
      </x:c>
      <x:c r="W33" s="23" t="str">
        <x:v>低</x:v>
      </x:c>
      <x:c r="X33" s="24" t="str">
        <x:v>首版样机通常可手工焊接。</x:v>
      </x:c>
      <x:c r="Y33" s="24" t="str">
        <x:v>requirements VER-005</x:v>
      </x:c>
    </x:row>
    <x:row r="34">
      <x:c r="A34" s="18" t="n">
        <x:v>26</x:v>
      </x:c>
      <x:c r="B34" s="18" t="str">
        <x:v>可选配件</x:v>
      </x:c>
      <x:c r="C34" s="18" t="str">
        <x:v>机械配件</x:v>
      </x:c>
      <x:c r="D34" s="19" t="str">
        <x:v>H1-H4</x:v>
      </x:c>
      <x:c r="E34" s="18" t="str">
        <x:v>M2.5 安装五金</x:v>
      </x:c>
      <x:c r="F34" s="18" t="str">
        <x:v>4 组螺钉、螺母或铜柱，长度按最终装配结构确认</x:v>
      </x:c>
      <x:c r="G34" s="18" t="str">
        <x:v>机械</x:v>
      </x:c>
      <x:c r="H34" s="20" t="n">
        <x:v>1</x:v>
      </x:c>
      <x:c r="I34" s="20" t="str">
        <x:v>每项目</x:v>
      </x:c>
      <x:c r="J34" s="20" t="n">
        <x:f>IF($I34="每板",$H34*$E$3,$H34)</x:f>
        <x:v>1</x:v>
      </x:c>
      <x:c r="K34" s="22" t="n">
        <x:f>0</x:f>
        <x:v>0</x:v>
      </x:c>
      <x:c r="L34" s="20" t="n">
        <x:v>1</x:v>
      </x:c>
      <x:c r="M34" s="20" t="n">
        <x:f>IF($B34="不采购",0,MAX($L34,ROUNDUP($J34*(1+$K34),0)))</x:f>
        <x:v>1</x:v>
      </x:c>
      <x:c r="N34" s="20" t="str">
        <x:v>M2.5 五金套件</x:v>
      </x:c>
      <x:c r="O34" s="20" t="str">
        <x:v>常用国产</x:v>
      </x:c>
      <x:c r="P34" s="20" t="str">
        <x:v>淘宝/五金供应商</x:v>
      </x:c>
      <x:c r="Q34" s="21" t="n">
        <x:v>12</x:v>
      </x:c>
      <x:c r="R34" s="21"/>
      <x:c r="S34" s="21" t="n">
        <x:f>IF($R34&gt;0,$R34,$Q34)</x:f>
        <x:v>12</x:v>
      </x:c>
      <x:c r="T34" s="21" t="n">
        <x:f>$M34*$S34</x:f>
        <x:v>12</x:v>
      </x:c>
      <x:c r="U34" s="18" t="str">
        <x:v>预算估算，未询价</x:v>
      </x:c>
      <x:c r="V34" s="23" t="str">
        <x:v>后置</x:v>
      </x:c>
      <x:c r="W34" s="23" t="str">
        <x:v>低</x:v>
      </x:c>
      <x:c r="X34" s="24" t="str">
        <x:v>在结构确认前不建议批量采购。</x:v>
      </x:c>
      <x:c r="Y34" s="24" t="str">
        <x:v>requirements ME-003</x:v>
      </x:c>
    </x:row>
    <x:row r="35">
      <x:c r="A35" s="18" t="n">
        <x:v>27</x:v>
      </x:c>
      <x:c r="B35" s="18" t="str">
        <x:v>可选配件</x:v>
      </x:c>
      <x:c r="C35" s="18" t="str">
        <x:v>跳线</x:v>
      </x:c>
      <x:c r="D35" s="19" t="str">
        <x:v>JP1</x:v>
      </x:c>
      <x:c r="E35" s="18" t="str">
        <x:v>2.54 mm 跳线帽</x:v>
      </x:c>
      <x:c r="F35" s="18" t="str">
        <x:v>1x3 排针默认 1-2 短接，建议至少采购 5 个</x:v>
      </x:c>
      <x:c r="G35" s="18" t="str">
        <x:v>跳线帽</x:v>
      </x:c>
      <x:c r="H35" s="20" t="n">
        <x:v>1</x:v>
      </x:c>
      <x:c r="I35" s="20" t="str">
        <x:v>每项目</x:v>
      </x:c>
      <x:c r="J35" s="20" t="n">
        <x:f>IF($I35="每板",$H35*$E$3,$H35)</x:f>
        <x:v>1</x:v>
      </x:c>
      <x:c r="K35" s="22" t="n">
        <x:f>0</x:f>
        <x:v>0</x:v>
      </x:c>
      <x:c r="L35" s="20" t="n">
        <x:v>5</x:v>
      </x:c>
      <x:c r="M35" s="20" t="n">
        <x:f>IF($B35="不采购",0,MAX($L35,ROUNDUP($J35*(1+$K35),0)))</x:f>
        <x:v>5</x:v>
      </x:c>
      <x:c r="N35" s="20" t="str">
        <x:v>2.54 mm 跳线帽</x:v>
      </x:c>
      <x:c r="O35" s="20" t="str">
        <x:v>常用国产</x:v>
      </x:c>
      <x:c r="P35" s="20" t="str">
        <x:v>立创商城/淘宝</x:v>
      </x:c>
      <x:c r="Q35" s="21" t="n">
        <x:v>1</x:v>
      </x:c>
      <x:c r="R35" s="21"/>
      <x:c r="S35" s="21" t="n">
        <x:f>IF($R35&gt;0,$R35,$Q35)</x:f>
        <x:v>1</x:v>
      </x:c>
      <x:c r="T35" s="21" t="n">
        <x:f>$M35*$S35</x:f>
        <x:v>5</x:v>
      </x:c>
      <x:c r="U35" s="18" t="str">
        <x:v>预算估算，未询价</x:v>
      </x:c>
      <x:c r="V35" s="23" t="str">
        <x:v>后置</x:v>
      </x:c>
      <x:c r="W35" s="23" t="str">
        <x:v>低</x:v>
      </x:c>
      <x:c r="X35" s="24" t="str">
        <x:v>默认 3V3 输出需要安装 1-2。</x:v>
      </x:c>
      <x:c r="Y35" s="24" t="str">
        <x:v>requirements FR-006</x:v>
      </x:c>
    </x:row>
    <x:row r="36">
      <x:c r="A36" s="18" t="n">
        <x:v>28</x:v>
      </x:c>
      <x:c r="B36" s="18" t="str">
        <x:v>可选配件</x:v>
      </x:c>
      <x:c r="C36" s="18" t="str">
        <x:v>测试线</x:v>
      </x:c>
      <x:c r="D36" s="19" t="str">
        <x:v>USB-C-CABLE</x:v>
      </x:c>
      <x:c r="E36" s="18" t="str">
        <x:v>USB-C 数据线</x:v>
      </x:c>
      <x:c r="F36" s="18" t="str">
        <x:v>USB 2.0 数据线，用于首次枚举和回环测试</x:v>
      </x:c>
      <x:c r="G36" s="18" t="str">
        <x:v>测试附件</x:v>
      </x:c>
      <x:c r="H36" s="20" t="n">
        <x:v>1</x:v>
      </x:c>
      <x:c r="I36" s="20" t="str">
        <x:v>每项目</x:v>
      </x:c>
      <x:c r="J36" s="20" t="n">
        <x:f>IF($I36="每板",$H36*$E$3,$H36)</x:f>
        <x:v>1</x:v>
      </x:c>
      <x:c r="K36" s="22" t="n">
        <x:f>0</x:f>
        <x:v>0</x:v>
      </x:c>
      <x:c r="L36" s="20" t="n">
        <x:v>1</x:v>
      </x:c>
      <x:c r="M36" s="20" t="n">
        <x:f>IF($B36="不采购",0,MAX($L36,ROUNDUP($J36*(1+$K36),0)))</x:f>
        <x:v>1</x:v>
      </x:c>
      <x:c r="N36" s="20" t="str">
        <x:v>USB 2.0 Type-C 数据线</x:v>
      </x:c>
      <x:c r="O36" s="20" t="str">
        <x:v>任意合格品牌</x:v>
      </x:c>
      <x:c r="P36" s="20" t="str">
        <x:v>常用电商</x:v>
      </x:c>
      <x:c r="Q36" s="21" t="n">
        <x:v>15</x:v>
      </x:c>
      <x:c r="R36" s="21"/>
      <x:c r="S36" s="21" t="n">
        <x:f>IF($R36&gt;0,$R36,$Q36)</x:f>
        <x:v>15</x:v>
      </x:c>
      <x:c r="T36" s="21" t="n">
        <x:f>$M36*$S36</x:f>
        <x:v>15</x:v>
      </x:c>
      <x:c r="U36" s="18" t="str">
        <x:v>预算估算，未询价</x:v>
      </x:c>
      <x:c r="V36" s="23" t="str">
        <x:v>后置</x:v>
      </x:c>
      <x:c r="W36" s="23" t="str">
        <x:v>低</x:v>
      </x:c>
      <x:c r="X36" s="24" t="str">
        <x:v>如已有测试线可不采购。</x:v>
      </x:c>
      <x:c r="Y36" s="24" t="str">
        <x:v>requirements FR-001/VER-003</x:v>
      </x:c>
    </x:row>
    <x:row r="37">
      <x:c r="A37" s="18" t="n">
        <x:v>29</x:v>
      </x:c>
      <x:c r="B37" s="18" t="str">
        <x:v>可选配件</x:v>
      </x:c>
      <x:c r="C37" s="18" t="str">
        <x:v>测试线</x:v>
      </x:c>
      <x:c r="D37" s="19" t="str">
        <x:v>UART-HARNESS</x:v>
      </x:c>
      <x:c r="E37" s="18" t="str">
        <x:v>UART 4 芯测试线</x:v>
      </x:c>
      <x:c r="F37" s="18" t="str">
        <x:v>母头或飞线，用于 J2 回环和负载测试</x:v>
      </x:c>
      <x:c r="G37" s="18" t="str">
        <x:v>测试附件</x:v>
      </x:c>
      <x:c r="H37" s="20" t="n">
        <x:v>1</x:v>
      </x:c>
      <x:c r="I37" s="20" t="str">
        <x:v>每项目</x:v>
      </x:c>
      <x:c r="J37" s="20" t="n">
        <x:f>IF($I37="每板",$H37*$E$3,$H37)</x:f>
        <x:v>1</x:v>
      </x:c>
      <x:c r="K37" s="22" t="n">
        <x:f>0</x:f>
        <x:v>0</x:v>
      </x:c>
      <x:c r="L37" s="20" t="n">
        <x:v>1</x:v>
      </x:c>
      <x:c r="M37" s="20" t="n">
        <x:f>IF($B37="不采购",0,MAX($L37,ROUNDUP($J37*(1+$K37),0)))</x:f>
        <x:v>1</x:v>
      </x:c>
      <x:c r="N37" s="20" t="str">
        <x:v>4P 2.54 mm 测试线</x:v>
      </x:c>
      <x:c r="O37" s="20" t="str">
        <x:v>常用国产</x:v>
      </x:c>
      <x:c r="P37" s="20" t="str">
        <x:v>淘宝/常用电商</x:v>
      </x:c>
      <x:c r="Q37" s="21" t="n">
        <x:v>10</x:v>
      </x:c>
      <x:c r="R37" s="21"/>
      <x:c r="S37" s="21" t="n">
        <x:f>IF($R37&gt;0,$R37,$Q37)</x:f>
        <x:v>10</x:v>
      </x:c>
      <x:c r="T37" s="21" t="n">
        <x:f>$M37*$S37</x:f>
        <x:v>10</x:v>
      </x:c>
      <x:c r="U37" s="18" t="str">
        <x:v>预算估算，未询价</x:v>
      </x:c>
      <x:c r="V37" s="23" t="str">
        <x:v>后置</x:v>
      </x:c>
      <x:c r="W37" s="23" t="str">
        <x:v>低</x:v>
      </x:c>
      <x:c r="X37" s="24" t="str">
        <x:v>也可用杜邦线替代。</x:v>
      </x:c>
      <x:c r="Y37" s="24" t="str">
        <x:v>requirements FR-007/VER-003</x:v>
      </x:c>
    </x:row>
  </x:sheetData>
  <x:mergeCells>
    <x:mergeCell ref="A1:Y1"/>
    <x:mergeCell ref="A2:Y2"/>
  </x:mergeCells>
  <x:conditionalFormatting sqref="V9:V37">
    <x:cfRule type="containsText" dxfId="0" priority="1" operator="containsText" text="首批关键"/>
  </x:conditionalFormatting>
  <x:conditionalFormatting sqref="W9:W37">
    <x:cfRule type="containsText" dxfId="1" priority="2" operator="containsText" text="高"/>
    <x:cfRule type="containsText" dxfId="2" priority="3" operator="containsText" text="中"/>
  </x:conditionalFormatting>
  <x:conditionalFormatting sqref="T9:T37">
    <x:cfRule type="dataBar" priority="4">
      <x:dataBar>
        <x:cfvo type="min"/>
        <x:cfvo type="max"/>
        <x:color rgb="FF3B82F6"/>
      </x:dataBar>
    </x:cfRule>
  </x:conditionalFormatting>
  <x:dataValidations count="4">
    <x:dataValidation type="list" sqref="B9:B37">
      <x:formula1>"必装元件,PCB/装配,可选配件,不采购"</x:formula1>
    </x:dataValidation>
    <x:dataValidation type="list" sqref="I9:I37">
      <x:formula1>"每板,每项目"</x:formula1>
    </x:dataValidation>
    <x:dataValidation type="list" sqref="V9:V37">
      <x:formula1>"首批关键,常规,后置,无采购"</x:formula1>
    </x:dataValidation>
    <x:dataValidation type="list" sqref="W9:W37">
      <x:formula1>"高,中,低,服务"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1b388198da4815"/>
  </x:tableParts>
</x:worksheet>
</file>